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DC-DC_Isolation\DC-DC_Isolation\"/>
    </mc:Choice>
  </mc:AlternateContent>
  <bookViews>
    <workbookView windowWidth="27952" windowHeight="12375"/>
  </bookViews>
  <sheets>
    <sheet name="DC-DC_Isolation" sheetId="1" r:id="rId1"/>
  </sheets>
  <definedNames>
    <definedName name="_xlnm.Print_Titles" localSheetId="0">'DC-DC_Isolation'!$1:$1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<sst xmlns="http://schemas.openxmlformats.org/spreadsheetml/2006/main" count="366" uniqueCount="236">
  <si>
    <t>Comment</t>
  </si>
  <si>
    <t>Description</t>
  </si>
  <si>
    <t>Designator</t>
  </si>
  <si>
    <t>Footprint</t>
  </si>
  <si>
    <t>LibRef</t>
  </si>
  <si>
    <t>Quantity</t>
  </si>
  <si>
    <t>Model number</t>
  </si>
  <si>
    <t>Manufacture</t>
  </si>
  <si>
    <t>12 sets</t>
  </si>
  <si>
    <t xml:space="preserve">Minimum quantity </t>
  </si>
  <si>
    <t>50V_100uF</t>
  </si>
  <si>
    <t>C1, C2, C4, C5</t>
  </si>
  <si>
    <t>CAP_SMD_Size_G</t>
  </si>
  <si>
    <t>CAP-POLAR</t>
  </si>
  <si>
    <t>C46550415</t>
  </si>
  <si>
    <t>JVJ50V100M6x8</t>
  </si>
  <si>
    <t>JIERR</t>
  </si>
  <si>
    <t>SMD,D6.3xL7.7mm</t>
  </si>
  <si>
    <t>330uF_25V</t>
  </si>
  <si>
    <t>330uF_25V, [NoValue]</t>
  </si>
  <si>
    <t>C3, C6, C19</t>
  </si>
  <si>
    <t>C46550406</t>
  </si>
  <si>
    <t>JVJ25V330M6x8</t>
  </si>
  <si>
    <t>0.1uF</t>
  </si>
  <si>
    <t>0.1uF X7R, 0.1uF</t>
  </si>
  <si>
    <t>C7, C8, C9, C10, C11, C12</t>
  </si>
  <si>
    <t>CAP-0805</t>
  </si>
  <si>
    <t>CAP-NON-POLAR</t>
  </si>
  <si>
    <t>C1711</t>
  </si>
  <si>
    <t>CL21B104KBCNNNC</t>
  </si>
  <si>
    <t>SAMSUNG</t>
  </si>
  <si>
    <t>0805</t>
  </si>
  <si>
    <t>63V 0.01UF</t>
  </si>
  <si>
    <t>WIMA Film Capacitor FKP2 63V 0.01UF</t>
  </si>
  <si>
    <t>C13, C14</t>
  </si>
  <si>
    <t>FKP2D011001A00JSSD</t>
  </si>
  <si>
    <t>C5121924</t>
  </si>
  <si>
    <t>C241J103J20C000</t>
  </si>
  <si>
    <t>faratronic</t>
  </si>
  <si>
    <t>P=5mm</t>
  </si>
  <si>
    <t>100uF_16V</t>
  </si>
  <si>
    <t>C15</t>
  </si>
  <si>
    <t>CAP-TAN-D</t>
  </si>
  <si>
    <t>C7223</t>
  </si>
  <si>
    <t>TAJD107K016RNJ</t>
  </si>
  <si>
    <t>Kyocera AVX</t>
  </si>
  <si>
    <t>CASE-D-7343-31(mm)</t>
  </si>
  <si>
    <t>100nF</t>
  </si>
  <si>
    <t>C16, C20, C21, C24，C18, C29</t>
  </si>
  <si>
    <t>CAP-0603</t>
  </si>
  <si>
    <t>C1591</t>
  </si>
  <si>
    <t>CL10B104KB8NNNC</t>
  </si>
  <si>
    <t>0603</t>
  </si>
  <si>
    <t>0.01uF</t>
  </si>
  <si>
    <t>C17</t>
  </si>
  <si>
    <t>C18741</t>
  </si>
  <si>
    <t>CL21B103KCANNNC</t>
  </si>
  <si>
    <t>DNP</t>
  </si>
  <si>
    <t>C22, C30</t>
  </si>
  <si>
    <t>470uF_25V</t>
  </si>
  <si>
    <t>C23</t>
  </si>
  <si>
    <t>C46550407</t>
  </si>
  <si>
    <t>JVJ25V470M8x10</t>
  </si>
  <si>
    <t>SMD,D8xL10.5mm</t>
  </si>
  <si>
    <t>2.2nF</t>
  </si>
  <si>
    <t>C25</t>
  </si>
  <si>
    <t>C16033</t>
  </si>
  <si>
    <t>CL10B222KB8NNNC</t>
  </si>
  <si>
    <t>C26</t>
  </si>
  <si>
    <t>0.47uF</t>
  </si>
  <si>
    <t>C27</t>
  </si>
  <si>
    <t>C1623</t>
  </si>
  <si>
    <t>CL10B474KA8NNNC</t>
  </si>
  <si>
    <t>470 pF</t>
  </si>
  <si>
    <t>C28</t>
  </si>
  <si>
    <t>C22396</t>
  </si>
  <si>
    <t>CL10B471KB8NNNC</t>
  </si>
  <si>
    <t>ES1D-M3</t>
  </si>
  <si>
    <t>D1, D2, D3, D4, D5, D6, D9, D10</t>
  </si>
  <si>
    <t>FP-SMA-MFG</t>
  </si>
  <si>
    <t>C2979777</t>
  </si>
  <si>
    <t>ES1D-M3/61T</t>
  </si>
  <si>
    <t>VISHAY</t>
  </si>
  <si>
    <t>SMA(DO-214AC)</t>
  </si>
  <si>
    <t>LED_GREEN</t>
  </si>
  <si>
    <t>D7, D8</t>
  </si>
  <si>
    <t>LED</t>
  </si>
  <si>
    <t>C965815</t>
  </si>
  <si>
    <t>XL-2012UGC</t>
  </si>
  <si>
    <t>XINGLIGHT</t>
  </si>
  <si>
    <t>SMBJ33CA-13-F</t>
  </si>
  <si>
    <t>TVS DIODE 33V 53.3V SMB</t>
  </si>
  <si>
    <t>D11, D12</t>
  </si>
  <si>
    <t>FP-SMB-CA-MFG</t>
  </si>
  <si>
    <t>C135068</t>
  </si>
  <si>
    <t>DIODES</t>
  </si>
  <si>
    <t>SMB</t>
  </si>
  <si>
    <t>LED_RED</t>
  </si>
  <si>
    <t>D13</t>
  </si>
  <si>
    <t>C965812</t>
  </si>
  <si>
    <t>XL-2012SURC</t>
  </si>
  <si>
    <t>LM7818</t>
  </si>
  <si>
    <t/>
  </si>
  <si>
    <t>DD1, DD2</t>
  </si>
  <si>
    <t>TO-252</t>
  </si>
  <si>
    <t>C115123</t>
  </si>
  <si>
    <t>MC78M18CDTRKG</t>
  </si>
  <si>
    <t>onsemi</t>
  </si>
  <si>
    <t>BLM21PG221SN1D</t>
  </si>
  <si>
    <t>Chip Ferrite Bead, 0805, 220Ω @ 100MHz, 0.045Ω, 25%, 2A</t>
  </si>
  <si>
    <t>FB1, FB2</t>
  </si>
  <si>
    <t>FP-BLM21-0_2-t0_85-e0_5-IPC_B</t>
  </si>
  <si>
    <t>CMP-0686-00610-3</t>
  </si>
  <si>
    <t>C85840</t>
  </si>
  <si>
    <t>muRata</t>
  </si>
  <si>
    <t>SRN6045TA-220M</t>
  </si>
  <si>
    <t>FIXED IND 22UH 2.3A 96 MOHM SMD</t>
  </si>
  <si>
    <t>L1, L2</t>
  </si>
  <si>
    <t>FP-SRN6045TA-MFG</t>
  </si>
  <si>
    <t>CMP-07248-000061-1</t>
  </si>
  <si>
    <t>C2044314</t>
  </si>
  <si>
    <t>BOURNS</t>
  </si>
  <si>
    <t>SMD,6x6mm</t>
  </si>
  <si>
    <t>330µH, 0.38A</t>
  </si>
  <si>
    <t>WE-PD2 SMT Power Inductor, size 7850, 390µH, 0.38A, 1.77Ω</t>
  </si>
  <si>
    <t>L3</t>
  </si>
  <si>
    <t>WE-PD2_7850</t>
  </si>
  <si>
    <t>744775239</t>
  </si>
  <si>
    <t>C436716</t>
  </si>
  <si>
    <t>PSPNAQ5040-331M</t>
  </si>
  <si>
    <t>PROD</t>
  </si>
  <si>
    <t>SMD,5x5mm</t>
  </si>
  <si>
    <t>61301811021</t>
  </si>
  <si>
    <t>WR-PHD Pin Header, THT, Angled, pitch 2.54mm, 1 Row, 18P</t>
  </si>
  <si>
    <t>P1</t>
  </si>
  <si>
    <t>C2883856</t>
  </si>
  <si>
    <t>X6511WR-18H-C60D30R1</t>
  </si>
  <si>
    <t>XKB Connection</t>
  </si>
  <si>
    <t>1x18P,P=2.54mm</t>
  </si>
  <si>
    <t>10K</t>
  </si>
  <si>
    <t>R1, R2</t>
  </si>
  <si>
    <t>RES-0805</t>
  </si>
  <si>
    <t>RES-CONST</t>
  </si>
  <si>
    <t>C84376</t>
  </si>
  <si>
    <t>RC0805FR-0710KL</t>
  </si>
  <si>
    <t>YAGEO</t>
  </si>
  <si>
    <t>10 OMH</t>
  </si>
  <si>
    <t>R3, R4</t>
  </si>
  <si>
    <t>RES-1206</t>
  </si>
  <si>
    <t>C108080</t>
  </si>
  <si>
    <t>RC1206FR-0710RL</t>
  </si>
  <si>
    <t>R5, R14, R17</t>
  </si>
  <si>
    <t>RES-0603</t>
  </si>
  <si>
    <t>C98220</t>
  </si>
  <si>
    <t>RC0603FR-0710KL</t>
  </si>
  <si>
    <t>2K</t>
  </si>
  <si>
    <t>R6, R7, R18</t>
  </si>
  <si>
    <t>C105576</t>
  </si>
  <si>
    <t>RC0603FR-072KL</t>
  </si>
  <si>
    <t>820</t>
  </si>
  <si>
    <t>R8</t>
  </si>
  <si>
    <t>C23253</t>
  </si>
  <si>
    <t>0603WAF8200T5E</t>
  </si>
  <si>
    <t>UNI-ROYAL</t>
  </si>
  <si>
    <t>200K</t>
  </si>
  <si>
    <t>R9, R10</t>
  </si>
  <si>
    <t>C105574</t>
  </si>
  <si>
    <t>RC0603FR-07200KL</t>
  </si>
  <si>
    <t>1K</t>
  </si>
  <si>
    <t>R11, R19, R20, R22, R23, R24, R27</t>
  </si>
  <si>
    <t>C22548</t>
  </si>
  <si>
    <t>RC0603FR-071KL</t>
  </si>
  <si>
    <t>10</t>
  </si>
  <si>
    <t>R12, R13</t>
  </si>
  <si>
    <t>C96347</t>
  </si>
  <si>
    <t>RC0805FR-0710RL</t>
  </si>
  <si>
    <t>6.2K</t>
  </si>
  <si>
    <t>R15</t>
  </si>
  <si>
    <t>C17767</t>
  </si>
  <si>
    <t>0805W8F6201T5E</t>
  </si>
  <si>
    <t>R16, R21</t>
  </si>
  <si>
    <t>C109318</t>
  </si>
  <si>
    <t>RC0603FR-0710RL</t>
  </si>
  <si>
    <t>1</t>
  </si>
  <si>
    <t>R25, R26</t>
  </si>
  <si>
    <t>RES-2512</t>
  </si>
  <si>
    <t>C11254</t>
  </si>
  <si>
    <t>25121WF100KT4E</t>
  </si>
  <si>
    <t>RM-6</t>
  </si>
  <si>
    <t>Core type: RM6
Ferrite material: PC40 / N87 / equivalent
Gap: 0 mm (Ungapped core)
Bobbin: RM6 standard</t>
  </si>
  <si>
    <t>T1</t>
  </si>
  <si>
    <t>TRANS_RM6</t>
  </si>
  <si>
    <t>RM_6_12-12-18-18</t>
  </si>
  <si>
    <t>BC847C</t>
  </si>
  <si>
    <t>T2</t>
  </si>
  <si>
    <t>SOT23-3_IPC_A</t>
  </si>
  <si>
    <t>C7420337</t>
  </si>
  <si>
    <t>R+O</t>
  </si>
  <si>
    <t>SOT-23</t>
  </si>
  <si>
    <t>IRFL024ZTRPBF</t>
  </si>
  <si>
    <t>T3, T4</t>
  </si>
  <si>
    <t>SOT-223-3</t>
  </si>
  <si>
    <t>C80625</t>
  </si>
  <si>
    <t>Infineon</t>
  </si>
  <si>
    <t>SOT-223</t>
  </si>
  <si>
    <t>Test_Point_PCB</t>
  </si>
  <si>
    <t>Test_Point</t>
  </si>
  <si>
    <t>TP1, TP2, TP3</t>
  </si>
  <si>
    <t>TP_PCB?</t>
  </si>
  <si>
    <t>TP4, TP5, TP6, TP7, TP10, TP12, TP13</t>
  </si>
  <si>
    <t>TL494CDR</t>
  </si>
  <si>
    <t>Pulse-Width-Modulation Control Circuit with Voltage Control, 45 % Duty Cycle, 0 to +70 degC, 16-pin SOIC (D), Green (RoHS &amp; no Sb/Br)</t>
  </si>
  <si>
    <t>U1</t>
  </si>
  <si>
    <t>D0016A_N</t>
  </si>
  <si>
    <t>CMP-0319-00950-2</t>
  </si>
  <si>
    <t>C19882</t>
  </si>
  <si>
    <t>TI</t>
  </si>
  <si>
    <t>SOIC-16-150mil</t>
  </si>
  <si>
    <t>UCC27524DSDR</t>
  </si>
  <si>
    <t>IC GATE DVR LO-SIDE DL 5A 8SON</t>
  </si>
  <si>
    <t>U2</t>
  </si>
  <si>
    <t>FP-DSD0008D-IPC_A</t>
  </si>
  <si>
    <t>C2676911</t>
  </si>
  <si>
    <t>SON-8-EP(3x3)</t>
  </si>
  <si>
    <t>TL431</t>
  </si>
  <si>
    <t>TL431_SOT-23-3</t>
  </si>
  <si>
    <t>U3, U4</t>
  </si>
  <si>
    <t>TL431_SOT-23-3(A)</t>
  </si>
  <si>
    <t>C316457</t>
  </si>
  <si>
    <t>TL431QDBZR</t>
  </si>
  <si>
    <t>SOT-23-3</t>
  </si>
  <si>
    <t>PCB</t>
  </si>
  <si>
    <t>FR-4 material, double-sided, board thickness 1.6mm, green solder mask with white silkscreen, 1oz copper thickness, via-in-pad (tented), lead-free HASL</t>
  </si>
  <si>
    <t>SMT Stencil</t>
  </si>
  <si>
    <t>SMT Soldering Cost</t>
  </si>
  <si>
    <t>Freight 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</si>
</sst>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\(0.000\)"/>
  </numFmts>
  <fonts count="21">
    <font>
      <sz val="11"/>
      <color theme="1"/>
      <name val="等线"/>
      <charset val="20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176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 quotePrefix="1"/>
    <xf numFmtId="0" fontId="0" fillId="0" borderId="0" xfId="0" quotePrefix="1"/>
    <xf numFmtId="0" fontId="0" fillId="0" borderId="1" xfId="0" applyBorder="1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tabSelected="1" zoomScale="70" zoomScaleNormal="70" workbookViewId="0">
      <selection activeCell="Q34" sqref="Q34"/>
    </sheetView>
  </sheetViews>
  <sheetFormatPr defaultColWidth="9" defaultRowHeight="13.85"/>
  <cols>
    <col min="1" max="1" width="18.5309734513274" customWidth="1"/>
    <col min="2" max="2" width="25.0973451327434" customWidth="1"/>
    <col min="3" max="3" width="29.3451327433628" customWidth="1"/>
    <col min="4" max="4" width="27.0796460176991" customWidth="1"/>
    <col min="5" max="6" width="18.5309734513274" customWidth="1"/>
    <col min="7" max="7" width="12.1504424778761" customWidth="1"/>
    <col min="8" max="8" width="20.5752212389381" customWidth="1"/>
    <col min="9" max="9" width="13.5486725663717" customWidth="1"/>
    <col min="10" max="10" width="16.0088495575221" customWidth="1"/>
    <col min="13" max="13" width="12.7964601769912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6</v>
      </c>
      <c r="I1" s="1" t="s">
        <v>7</v>
      </c>
      <c r="K1" s="1" t="s">
        <v>8</v>
      </c>
      <c r="L1" s="1" t="s">
        <v>9</v>
      </c>
    </row>
    <row r="2" spans="1:14">
      <c r="A2" s="6" t="s">
        <v>10</v>
      </c>
      <c r="B2" s="6" t="s">
        <v>10</v>
      </c>
      <c r="C2" s="6" t="s">
        <v>11</v>
      </c>
      <c r="D2" s="6" t="s">
        <v>12</v>
      </c>
      <c r="E2" s="6" t="s">
        <v>13</v>
      </c>
      <c r="F2" s="3">
        <v>4</v>
      </c>
      <c r="G2" t="s">
        <v>14</v>
      </c>
      <c r="H2" t="s">
        <v>15</v>
      </c>
      <c r="I2" t="s">
        <v>16</v>
      </c>
      <c r="J2" t="s">
        <v>17</v>
      </c>
      <c r="K2">
        <f t="shared" ref="K2:K23" si="0">F2*12</f>
        <v>48</v>
      </c>
      <c r="L2">
        <v>50</v>
      </c>
      <c r="M2" s="4">
        <v>0.062</v>
      </c>
      <c r="N2">
        <f>L2*M2</f>
        <v>3.1</v>
      </c>
    </row>
    <row r="3" spans="1:14">
      <c r="A3" s="6" t="s">
        <v>18</v>
      </c>
      <c r="B3" s="6" t="s">
        <v>19</v>
      </c>
      <c r="C3" s="6" t="s">
        <v>20</v>
      </c>
      <c r="D3" s="6" t="s">
        <v>12</v>
      </c>
      <c r="E3" s="6" t="s">
        <v>13</v>
      </c>
      <c r="F3" s="3">
        <v>3</v>
      </c>
      <c r="G3" t="s">
        <v>21</v>
      </c>
      <c r="H3" t="s">
        <v>22</v>
      </c>
      <c r="I3" t="s">
        <v>16</v>
      </c>
      <c r="J3" t="s">
        <v>17</v>
      </c>
      <c r="K3">
        <f t="shared" si="0"/>
        <v>36</v>
      </c>
      <c r="L3">
        <v>40</v>
      </c>
      <c r="M3" s="4">
        <v>0.11</v>
      </c>
      <c r="N3">
        <f t="shared" ref="N3:N42" si="1">L3*M3</f>
        <v>4.4</v>
      </c>
    </row>
    <row r="4" spans="1:14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3">
        <v>6</v>
      </c>
      <c r="G4" t="s">
        <v>28</v>
      </c>
      <c r="H4" t="s">
        <v>29</v>
      </c>
      <c r="I4" t="s">
        <v>30</v>
      </c>
      <c r="J4" s="7" t="s">
        <v>31</v>
      </c>
      <c r="K4">
        <f t="shared" si="0"/>
        <v>72</v>
      </c>
      <c r="L4">
        <v>80</v>
      </c>
      <c r="M4" s="4">
        <v>0.024</v>
      </c>
      <c r="N4">
        <f t="shared" si="1"/>
        <v>1.92</v>
      </c>
    </row>
    <row r="5" spans="1:14">
      <c r="A5" s="6" t="s">
        <v>32</v>
      </c>
      <c r="B5" s="6" t="s">
        <v>33</v>
      </c>
      <c r="C5" s="6" t="s">
        <v>34</v>
      </c>
      <c r="D5" s="6" t="s">
        <v>35</v>
      </c>
      <c r="E5" s="6" t="s">
        <v>27</v>
      </c>
      <c r="F5" s="3">
        <v>2</v>
      </c>
      <c r="G5" t="s">
        <v>36</v>
      </c>
      <c r="H5" t="s">
        <v>37</v>
      </c>
      <c r="I5" t="s">
        <v>38</v>
      </c>
      <c r="J5" t="s">
        <v>39</v>
      </c>
      <c r="K5">
        <f t="shared" si="0"/>
        <v>24</v>
      </c>
      <c r="L5">
        <v>30</v>
      </c>
      <c r="M5" s="4">
        <v>0.066</v>
      </c>
      <c r="N5">
        <f t="shared" si="1"/>
        <v>1.98</v>
      </c>
    </row>
    <row r="6" spans="1:14">
      <c r="A6" s="6" t="s">
        <v>40</v>
      </c>
      <c r="B6" s="6" t="s">
        <v>40</v>
      </c>
      <c r="C6" s="6" t="s">
        <v>41</v>
      </c>
      <c r="D6" s="6" t="s">
        <v>42</v>
      </c>
      <c r="E6" s="6" t="s">
        <v>13</v>
      </c>
      <c r="F6" s="3">
        <v>1</v>
      </c>
      <c r="G6" t="s">
        <v>43</v>
      </c>
      <c r="H6" t="s">
        <v>44</v>
      </c>
      <c r="I6" t="s">
        <v>45</v>
      </c>
      <c r="J6" t="s">
        <v>46</v>
      </c>
      <c r="K6">
        <f t="shared" si="0"/>
        <v>12</v>
      </c>
      <c r="L6">
        <v>12</v>
      </c>
      <c r="M6" s="4">
        <v>0.7</v>
      </c>
      <c r="N6">
        <f t="shared" si="1"/>
        <v>8.4</v>
      </c>
    </row>
    <row r="7" spans="1:14">
      <c r="A7" s="6" t="s">
        <v>47</v>
      </c>
      <c r="B7" s="6" t="s">
        <v>47</v>
      </c>
      <c r="C7" s="6" t="s">
        <v>48</v>
      </c>
      <c r="D7" s="6" t="s">
        <v>49</v>
      </c>
      <c r="E7" s="6" t="s">
        <v>27</v>
      </c>
      <c r="F7" s="3">
        <v>6</v>
      </c>
      <c r="G7" t="s">
        <v>50</v>
      </c>
      <c r="H7" t="s">
        <v>51</v>
      </c>
      <c r="I7" t="s">
        <v>30</v>
      </c>
      <c r="J7" s="7" t="s">
        <v>52</v>
      </c>
      <c r="K7">
        <f t="shared" si="0"/>
        <v>72</v>
      </c>
      <c r="L7">
        <v>100</v>
      </c>
      <c r="M7" s="4">
        <v>0.015</v>
      </c>
      <c r="N7">
        <f t="shared" si="1"/>
        <v>1.5</v>
      </c>
    </row>
    <row r="8" spans="1:14">
      <c r="A8" s="6" t="s">
        <v>53</v>
      </c>
      <c r="B8" s="6" t="s">
        <v>53</v>
      </c>
      <c r="C8" s="6" t="s">
        <v>54</v>
      </c>
      <c r="D8" s="6" t="s">
        <v>26</v>
      </c>
      <c r="E8" s="6" t="s">
        <v>27</v>
      </c>
      <c r="F8" s="3">
        <v>1</v>
      </c>
      <c r="G8" t="s">
        <v>55</v>
      </c>
      <c r="H8" t="s">
        <v>56</v>
      </c>
      <c r="I8" t="s">
        <v>30</v>
      </c>
      <c r="J8" s="7" t="s">
        <v>31</v>
      </c>
      <c r="K8">
        <f t="shared" si="0"/>
        <v>12</v>
      </c>
      <c r="L8">
        <v>50</v>
      </c>
      <c r="M8" s="4">
        <v>0.02</v>
      </c>
      <c r="N8">
        <f t="shared" si="1"/>
        <v>1</v>
      </c>
    </row>
    <row r="9" spans="1:14">
      <c r="A9" s="6" t="s">
        <v>53</v>
      </c>
      <c r="B9" s="3" t="s">
        <v>57</v>
      </c>
      <c r="C9" s="6" t="s">
        <v>58</v>
      </c>
      <c r="D9" s="6" t="s">
        <v>49</v>
      </c>
      <c r="E9" s="6" t="s">
        <v>27</v>
      </c>
      <c r="F9" s="3">
        <v>2</v>
      </c>
      <c r="K9">
        <f t="shared" si="0"/>
        <v>24</v>
      </c>
      <c r="M9" s="4"/>
      <c r="N9">
        <f t="shared" si="1"/>
        <v>0</v>
      </c>
    </row>
    <row r="10" spans="1:14">
      <c r="A10" s="6" t="s">
        <v>59</v>
      </c>
      <c r="B10" s="6" t="s">
        <v>59</v>
      </c>
      <c r="C10" s="6" t="s">
        <v>60</v>
      </c>
      <c r="D10" s="6" t="s">
        <v>12</v>
      </c>
      <c r="E10" s="6" t="s">
        <v>13</v>
      </c>
      <c r="F10" s="3">
        <v>1</v>
      </c>
      <c r="G10" t="s">
        <v>61</v>
      </c>
      <c r="H10" t="s">
        <v>62</v>
      </c>
      <c r="I10" t="s">
        <v>16</v>
      </c>
      <c r="J10" t="s">
        <v>63</v>
      </c>
      <c r="K10">
        <f t="shared" si="0"/>
        <v>12</v>
      </c>
      <c r="L10">
        <v>15</v>
      </c>
      <c r="M10" s="4">
        <v>0.11</v>
      </c>
      <c r="N10">
        <f t="shared" si="1"/>
        <v>1.65</v>
      </c>
    </row>
    <row r="11" spans="1:14">
      <c r="A11" s="6" t="s">
        <v>64</v>
      </c>
      <c r="B11" s="6" t="s">
        <v>64</v>
      </c>
      <c r="C11" s="6" t="s">
        <v>65</v>
      </c>
      <c r="D11" s="6" t="s">
        <v>49</v>
      </c>
      <c r="E11" s="6" t="s">
        <v>27</v>
      </c>
      <c r="F11" s="3">
        <v>1</v>
      </c>
      <c r="G11" t="s">
        <v>66</v>
      </c>
      <c r="H11" t="s">
        <v>67</v>
      </c>
      <c r="I11" t="s">
        <v>30</v>
      </c>
      <c r="J11" s="7" t="s">
        <v>52</v>
      </c>
      <c r="K11">
        <f t="shared" si="0"/>
        <v>12</v>
      </c>
      <c r="L11">
        <v>50</v>
      </c>
      <c r="M11" s="4">
        <v>0.012</v>
      </c>
      <c r="N11">
        <f t="shared" si="1"/>
        <v>0.6</v>
      </c>
    </row>
    <row r="12" spans="1:14">
      <c r="A12" s="6" t="s">
        <v>47</v>
      </c>
      <c r="B12" s="6" t="s">
        <v>47</v>
      </c>
      <c r="C12" s="6" t="s">
        <v>68</v>
      </c>
      <c r="D12" s="6" t="s">
        <v>26</v>
      </c>
      <c r="E12" s="6" t="s">
        <v>27</v>
      </c>
      <c r="F12" s="3">
        <v>1</v>
      </c>
      <c r="G12" t="s">
        <v>28</v>
      </c>
      <c r="H12" t="s">
        <v>29</v>
      </c>
      <c r="I12" t="s">
        <v>30</v>
      </c>
      <c r="J12" s="7" t="s">
        <v>31</v>
      </c>
      <c r="K12">
        <f t="shared" si="0"/>
        <v>12</v>
      </c>
      <c r="L12">
        <v>50</v>
      </c>
      <c r="M12" s="4">
        <v>0.022</v>
      </c>
      <c r="N12">
        <f t="shared" si="1"/>
        <v>1.1</v>
      </c>
    </row>
    <row r="13" spans="1:14">
      <c r="A13" s="6" t="s">
        <v>69</v>
      </c>
      <c r="B13" s="6" t="s">
        <v>69</v>
      </c>
      <c r="C13" s="6" t="s">
        <v>70</v>
      </c>
      <c r="D13" s="6" t="s">
        <v>49</v>
      </c>
      <c r="E13" s="6" t="s">
        <v>27</v>
      </c>
      <c r="F13" s="3">
        <v>1</v>
      </c>
      <c r="G13" t="s">
        <v>71</v>
      </c>
      <c r="H13" t="s">
        <v>72</v>
      </c>
      <c r="I13" t="s">
        <v>30</v>
      </c>
      <c r="J13" s="7" t="s">
        <v>52</v>
      </c>
      <c r="K13">
        <f t="shared" si="0"/>
        <v>12</v>
      </c>
      <c r="L13">
        <v>20</v>
      </c>
      <c r="M13" s="4">
        <v>0.03</v>
      </c>
      <c r="N13">
        <f t="shared" si="1"/>
        <v>0.6</v>
      </c>
    </row>
    <row r="14" spans="1:14">
      <c r="A14" s="6" t="s">
        <v>73</v>
      </c>
      <c r="B14" s="6" t="s">
        <v>73</v>
      </c>
      <c r="C14" s="6" t="s">
        <v>74</v>
      </c>
      <c r="D14" s="6" t="s">
        <v>49</v>
      </c>
      <c r="E14" s="6" t="s">
        <v>27</v>
      </c>
      <c r="F14" s="3">
        <v>1</v>
      </c>
      <c r="G14" t="s">
        <v>75</v>
      </c>
      <c r="H14" t="s">
        <v>76</v>
      </c>
      <c r="I14" t="s">
        <v>30</v>
      </c>
      <c r="J14" s="7" t="s">
        <v>52</v>
      </c>
      <c r="K14">
        <f t="shared" si="0"/>
        <v>12</v>
      </c>
      <c r="L14">
        <v>100</v>
      </c>
      <c r="M14" s="4">
        <v>0.007</v>
      </c>
      <c r="N14">
        <f t="shared" si="1"/>
        <v>0.7</v>
      </c>
    </row>
    <row r="15" spans="1:14">
      <c r="A15" s="6" t="s">
        <v>77</v>
      </c>
      <c r="B15" s="6" t="s">
        <v>77</v>
      </c>
      <c r="C15" s="6" t="s">
        <v>78</v>
      </c>
      <c r="D15" s="6" t="s">
        <v>79</v>
      </c>
      <c r="E15" s="6" t="s">
        <v>77</v>
      </c>
      <c r="F15" s="3">
        <v>8</v>
      </c>
      <c r="G15" t="s">
        <v>80</v>
      </c>
      <c r="H15" t="s">
        <v>81</v>
      </c>
      <c r="I15" t="s">
        <v>82</v>
      </c>
      <c r="J15" t="s">
        <v>83</v>
      </c>
      <c r="K15">
        <f t="shared" si="0"/>
        <v>96</v>
      </c>
      <c r="L15">
        <v>100</v>
      </c>
      <c r="M15" s="4">
        <v>0.36</v>
      </c>
      <c r="N15">
        <f t="shared" si="1"/>
        <v>36</v>
      </c>
    </row>
    <row r="16" spans="1:14">
      <c r="A16" s="6" t="s">
        <v>84</v>
      </c>
      <c r="B16" s="6" t="s">
        <v>84</v>
      </c>
      <c r="C16" s="6" t="s">
        <v>85</v>
      </c>
      <c r="D16" s="6" t="s">
        <v>84</v>
      </c>
      <c r="E16" s="6" t="s">
        <v>86</v>
      </c>
      <c r="F16" s="3">
        <v>2</v>
      </c>
      <c r="G16" t="s">
        <v>87</v>
      </c>
      <c r="H16" t="s">
        <v>88</v>
      </c>
      <c r="I16" t="s">
        <v>89</v>
      </c>
      <c r="J16" s="7" t="s">
        <v>31</v>
      </c>
      <c r="K16">
        <f t="shared" si="0"/>
        <v>24</v>
      </c>
      <c r="L16">
        <v>100</v>
      </c>
      <c r="M16" s="4">
        <v>0.007</v>
      </c>
      <c r="N16">
        <f t="shared" si="1"/>
        <v>0.7</v>
      </c>
    </row>
    <row r="17" spans="1:14">
      <c r="A17" s="6" t="s">
        <v>90</v>
      </c>
      <c r="B17" s="6" t="s">
        <v>91</v>
      </c>
      <c r="C17" s="6" t="s">
        <v>92</v>
      </c>
      <c r="D17" s="6" t="s">
        <v>93</v>
      </c>
      <c r="E17" s="6" t="s">
        <v>90</v>
      </c>
      <c r="F17" s="3">
        <v>2</v>
      </c>
      <c r="G17" t="s">
        <v>94</v>
      </c>
      <c r="H17" t="s">
        <v>90</v>
      </c>
      <c r="I17" t="s">
        <v>95</v>
      </c>
      <c r="J17" t="s">
        <v>96</v>
      </c>
      <c r="K17">
        <f t="shared" si="0"/>
        <v>24</v>
      </c>
      <c r="L17">
        <v>25</v>
      </c>
      <c r="M17" s="4">
        <v>0.235</v>
      </c>
      <c r="N17">
        <f t="shared" si="1"/>
        <v>5.875</v>
      </c>
    </row>
    <row r="18" spans="1:14">
      <c r="A18" s="6" t="s">
        <v>97</v>
      </c>
      <c r="B18" s="6" t="s">
        <v>97</v>
      </c>
      <c r="C18" s="6" t="s">
        <v>98</v>
      </c>
      <c r="D18" s="6" t="s">
        <v>97</v>
      </c>
      <c r="E18" s="6" t="s">
        <v>86</v>
      </c>
      <c r="F18" s="3">
        <v>1</v>
      </c>
      <c r="G18" t="s">
        <v>99</v>
      </c>
      <c r="H18" t="s">
        <v>100</v>
      </c>
      <c r="I18" t="s">
        <v>89</v>
      </c>
      <c r="J18" s="7" t="s">
        <v>31</v>
      </c>
      <c r="K18">
        <f t="shared" si="0"/>
        <v>12</v>
      </c>
      <c r="L18">
        <v>100</v>
      </c>
      <c r="M18" s="4">
        <v>0.007</v>
      </c>
      <c r="N18">
        <f t="shared" si="1"/>
        <v>0.7</v>
      </c>
    </row>
    <row r="19" spans="1:14">
      <c r="A19" s="6" t="s">
        <v>101</v>
      </c>
      <c r="B19" s="6" t="s">
        <v>102</v>
      </c>
      <c r="C19" s="6" t="s">
        <v>103</v>
      </c>
      <c r="D19" s="6" t="s">
        <v>104</v>
      </c>
      <c r="E19" s="6" t="s">
        <v>101</v>
      </c>
      <c r="F19" s="3">
        <v>2</v>
      </c>
      <c r="G19" t="s">
        <v>105</v>
      </c>
      <c r="H19" t="s">
        <v>106</v>
      </c>
      <c r="I19" t="s">
        <v>107</v>
      </c>
      <c r="J19" s="6" t="s">
        <v>104</v>
      </c>
      <c r="K19">
        <f t="shared" si="0"/>
        <v>24</v>
      </c>
      <c r="L19">
        <v>24</v>
      </c>
      <c r="M19" s="4">
        <v>0.3</v>
      </c>
      <c r="N19">
        <f t="shared" si="1"/>
        <v>7.2</v>
      </c>
    </row>
    <row r="20" spans="1:14">
      <c r="A20" s="6" t="s">
        <v>108</v>
      </c>
      <c r="B20" s="6" t="s">
        <v>109</v>
      </c>
      <c r="C20" s="6" t="s">
        <v>110</v>
      </c>
      <c r="D20" s="6" t="s">
        <v>111</v>
      </c>
      <c r="E20" s="6" t="s">
        <v>112</v>
      </c>
      <c r="F20" s="3">
        <v>2</v>
      </c>
      <c r="G20" t="s">
        <v>113</v>
      </c>
      <c r="H20" t="s">
        <v>108</v>
      </c>
      <c r="I20" t="s">
        <v>114</v>
      </c>
      <c r="J20" s="7" t="s">
        <v>31</v>
      </c>
      <c r="K20">
        <f t="shared" si="0"/>
        <v>24</v>
      </c>
      <c r="L20">
        <v>30</v>
      </c>
      <c r="M20" s="4">
        <v>0.026</v>
      </c>
      <c r="N20">
        <f t="shared" si="1"/>
        <v>0.78</v>
      </c>
    </row>
    <row r="21" spans="1:14">
      <c r="A21" s="6" t="s">
        <v>115</v>
      </c>
      <c r="B21" s="6" t="s">
        <v>116</v>
      </c>
      <c r="C21" s="6" t="s">
        <v>117</v>
      </c>
      <c r="D21" s="6" t="s">
        <v>118</v>
      </c>
      <c r="E21" s="6" t="s">
        <v>119</v>
      </c>
      <c r="F21" s="3">
        <v>2</v>
      </c>
      <c r="G21" t="s">
        <v>120</v>
      </c>
      <c r="H21" t="s">
        <v>115</v>
      </c>
      <c r="I21" t="s">
        <v>121</v>
      </c>
      <c r="J21" t="s">
        <v>122</v>
      </c>
      <c r="K21">
        <f t="shared" si="0"/>
        <v>24</v>
      </c>
      <c r="L21">
        <v>25</v>
      </c>
      <c r="M21" s="4">
        <v>0.33</v>
      </c>
      <c r="N21">
        <f t="shared" si="1"/>
        <v>8.25</v>
      </c>
    </row>
    <row r="22" spans="1:14">
      <c r="A22" s="6" t="s">
        <v>123</v>
      </c>
      <c r="B22" s="6" t="s">
        <v>124</v>
      </c>
      <c r="C22" s="6" t="s">
        <v>125</v>
      </c>
      <c r="D22" s="6" t="s">
        <v>126</v>
      </c>
      <c r="E22" s="6" t="s">
        <v>127</v>
      </c>
      <c r="F22" s="3">
        <v>1</v>
      </c>
      <c r="G22" t="s">
        <v>128</v>
      </c>
      <c r="H22" t="s">
        <v>129</v>
      </c>
      <c r="I22" t="s">
        <v>130</v>
      </c>
      <c r="J22" t="s">
        <v>131</v>
      </c>
      <c r="K22">
        <f t="shared" si="0"/>
        <v>12</v>
      </c>
      <c r="L22">
        <v>15</v>
      </c>
      <c r="M22" s="4">
        <v>0.065</v>
      </c>
      <c r="N22">
        <f t="shared" si="1"/>
        <v>0.975</v>
      </c>
    </row>
    <row r="23" spans="1:14">
      <c r="A23" s="6" t="s">
        <v>132</v>
      </c>
      <c r="B23" s="6" t="s">
        <v>133</v>
      </c>
      <c r="C23" s="6" t="s">
        <v>134</v>
      </c>
      <c r="D23" s="6" t="s">
        <v>132</v>
      </c>
      <c r="E23" s="6" t="s">
        <v>132</v>
      </c>
      <c r="F23" s="3">
        <v>1</v>
      </c>
      <c r="G23" t="s">
        <v>135</v>
      </c>
      <c r="H23" t="s">
        <v>136</v>
      </c>
      <c r="I23" t="s">
        <v>137</v>
      </c>
      <c r="J23" t="s">
        <v>138</v>
      </c>
      <c r="K23">
        <f t="shared" si="0"/>
        <v>12</v>
      </c>
      <c r="L23">
        <v>12</v>
      </c>
      <c r="M23" s="4">
        <v>0.35</v>
      </c>
      <c r="N23">
        <f t="shared" si="1"/>
        <v>4.2</v>
      </c>
    </row>
    <row r="24" spans="1:14">
      <c r="A24" s="6" t="s">
        <v>139</v>
      </c>
      <c r="B24" s="6" t="s">
        <v>139</v>
      </c>
      <c r="C24" s="6" t="s">
        <v>140</v>
      </c>
      <c r="D24" s="6" t="s">
        <v>141</v>
      </c>
      <c r="E24" s="6" t="s">
        <v>142</v>
      </c>
      <c r="F24" s="3">
        <v>2</v>
      </c>
      <c r="G24" t="s">
        <v>143</v>
      </c>
      <c r="H24" t="s">
        <v>144</v>
      </c>
      <c r="I24" t="s">
        <v>145</v>
      </c>
      <c r="J24" s="7" t="s">
        <v>31</v>
      </c>
      <c r="K24">
        <f t="shared" ref="K24:K42" si="2">F24*12</f>
        <v>24</v>
      </c>
      <c r="L24">
        <v>100</v>
      </c>
      <c r="M24" s="4">
        <v>0.012</v>
      </c>
      <c r="N24">
        <f t="shared" si="1"/>
        <v>1.2</v>
      </c>
    </row>
    <row r="25" spans="1:14">
      <c r="A25" s="6" t="s">
        <v>146</v>
      </c>
      <c r="B25" s="6" t="s">
        <v>146</v>
      </c>
      <c r="C25" s="6" t="s">
        <v>147</v>
      </c>
      <c r="D25" s="6" t="s">
        <v>148</v>
      </c>
      <c r="E25" s="6" t="s">
        <v>142</v>
      </c>
      <c r="F25" s="3">
        <v>2</v>
      </c>
      <c r="G25" t="s">
        <v>149</v>
      </c>
      <c r="H25" t="s">
        <v>150</v>
      </c>
      <c r="I25" t="s">
        <v>145</v>
      </c>
      <c r="J25">
        <v>1206</v>
      </c>
      <c r="K25">
        <f t="shared" si="2"/>
        <v>24</v>
      </c>
      <c r="L25">
        <v>30</v>
      </c>
      <c r="M25" s="4">
        <v>0.035</v>
      </c>
      <c r="N25">
        <f t="shared" si="1"/>
        <v>1.05</v>
      </c>
    </row>
    <row r="26" spans="1:14">
      <c r="A26" s="6" t="s">
        <v>139</v>
      </c>
      <c r="B26" s="6" t="s">
        <v>139</v>
      </c>
      <c r="C26" s="6" t="s">
        <v>151</v>
      </c>
      <c r="D26" s="6" t="s">
        <v>152</v>
      </c>
      <c r="E26" s="6" t="s">
        <v>142</v>
      </c>
      <c r="F26" s="3">
        <v>3</v>
      </c>
      <c r="G26" t="s">
        <v>153</v>
      </c>
      <c r="H26" t="s">
        <v>154</v>
      </c>
      <c r="I26" t="s">
        <v>145</v>
      </c>
      <c r="J26" s="7" t="s">
        <v>52</v>
      </c>
      <c r="K26">
        <f t="shared" si="2"/>
        <v>36</v>
      </c>
      <c r="L26">
        <v>100</v>
      </c>
      <c r="M26" s="4">
        <v>0.01</v>
      </c>
      <c r="N26">
        <f t="shared" si="1"/>
        <v>1</v>
      </c>
    </row>
    <row r="27" spans="1:14">
      <c r="A27" s="6" t="s">
        <v>155</v>
      </c>
      <c r="B27" s="6" t="s">
        <v>155</v>
      </c>
      <c r="C27" s="6" t="s">
        <v>156</v>
      </c>
      <c r="D27" s="6" t="s">
        <v>152</v>
      </c>
      <c r="E27" s="6" t="s">
        <v>142</v>
      </c>
      <c r="F27" s="3">
        <v>3</v>
      </c>
      <c r="G27" t="s">
        <v>157</v>
      </c>
      <c r="H27" t="s">
        <v>158</v>
      </c>
      <c r="I27" t="s">
        <v>145</v>
      </c>
      <c r="J27" s="7" t="s">
        <v>52</v>
      </c>
      <c r="K27">
        <f t="shared" si="2"/>
        <v>36</v>
      </c>
      <c r="L27">
        <v>100</v>
      </c>
      <c r="M27" s="4">
        <v>0.004</v>
      </c>
      <c r="N27">
        <f t="shared" si="1"/>
        <v>0.4</v>
      </c>
    </row>
    <row r="28" spans="1:14">
      <c r="A28" s="6" t="s">
        <v>159</v>
      </c>
      <c r="B28" s="6" t="s">
        <v>159</v>
      </c>
      <c r="C28" s="6" t="s">
        <v>160</v>
      </c>
      <c r="D28" s="6" t="s">
        <v>152</v>
      </c>
      <c r="E28" s="6" t="s">
        <v>142</v>
      </c>
      <c r="F28" s="3">
        <v>1</v>
      </c>
      <c r="G28" t="s">
        <v>161</v>
      </c>
      <c r="H28" t="s">
        <v>162</v>
      </c>
      <c r="I28" t="s">
        <v>163</v>
      </c>
      <c r="J28" s="7" t="s">
        <v>52</v>
      </c>
      <c r="K28">
        <f t="shared" si="2"/>
        <v>12</v>
      </c>
      <c r="L28">
        <v>100</v>
      </c>
      <c r="M28" s="4">
        <v>0.003</v>
      </c>
      <c r="N28">
        <f t="shared" si="1"/>
        <v>0.3</v>
      </c>
    </row>
    <row r="29" spans="1:14">
      <c r="A29" s="6" t="s">
        <v>164</v>
      </c>
      <c r="B29" s="6" t="s">
        <v>164</v>
      </c>
      <c r="C29" s="6" t="s">
        <v>165</v>
      </c>
      <c r="D29" s="6" t="s">
        <v>152</v>
      </c>
      <c r="E29" s="6" t="s">
        <v>142</v>
      </c>
      <c r="F29" s="3">
        <v>2</v>
      </c>
      <c r="G29" t="s">
        <v>166</v>
      </c>
      <c r="H29" t="s">
        <v>167</v>
      </c>
      <c r="I29" t="s">
        <v>145</v>
      </c>
      <c r="J29" s="7" t="s">
        <v>52</v>
      </c>
      <c r="K29">
        <f t="shared" si="2"/>
        <v>24</v>
      </c>
      <c r="L29">
        <v>100</v>
      </c>
      <c r="M29" s="4">
        <v>0.006</v>
      </c>
      <c r="N29">
        <f t="shared" si="1"/>
        <v>0.6</v>
      </c>
    </row>
    <row r="30" spans="1:14">
      <c r="A30" s="6" t="s">
        <v>168</v>
      </c>
      <c r="B30" s="6" t="s">
        <v>168</v>
      </c>
      <c r="C30" s="6" t="s">
        <v>169</v>
      </c>
      <c r="D30" s="6" t="s">
        <v>152</v>
      </c>
      <c r="E30" s="6" t="s">
        <v>142</v>
      </c>
      <c r="F30" s="3">
        <v>7</v>
      </c>
      <c r="G30" t="s">
        <v>170</v>
      </c>
      <c r="H30" t="s">
        <v>171</v>
      </c>
      <c r="I30" t="s">
        <v>145</v>
      </c>
      <c r="J30" s="7" t="s">
        <v>52</v>
      </c>
      <c r="K30">
        <f t="shared" si="2"/>
        <v>84</v>
      </c>
      <c r="L30">
        <v>100</v>
      </c>
      <c r="M30" s="4">
        <v>0.006</v>
      </c>
      <c r="N30">
        <f t="shared" si="1"/>
        <v>0.6</v>
      </c>
    </row>
    <row r="31" spans="1:14">
      <c r="A31" s="6" t="s">
        <v>172</v>
      </c>
      <c r="B31" s="6" t="s">
        <v>172</v>
      </c>
      <c r="C31" s="6" t="s">
        <v>173</v>
      </c>
      <c r="D31" s="6" t="s">
        <v>141</v>
      </c>
      <c r="E31" s="6" t="s">
        <v>142</v>
      </c>
      <c r="F31" s="3">
        <v>2</v>
      </c>
      <c r="G31" t="s">
        <v>174</v>
      </c>
      <c r="H31" t="s">
        <v>175</v>
      </c>
      <c r="I31" t="s">
        <v>145</v>
      </c>
      <c r="J31" s="7" t="s">
        <v>31</v>
      </c>
      <c r="K31">
        <f t="shared" si="2"/>
        <v>24</v>
      </c>
      <c r="L31">
        <v>50</v>
      </c>
      <c r="M31" s="4">
        <v>0.018</v>
      </c>
      <c r="N31">
        <f t="shared" si="1"/>
        <v>0.9</v>
      </c>
    </row>
    <row r="32" spans="1:14">
      <c r="A32" s="6" t="s">
        <v>176</v>
      </c>
      <c r="B32" s="6" t="s">
        <v>176</v>
      </c>
      <c r="C32" s="6" t="s">
        <v>177</v>
      </c>
      <c r="D32" s="6" t="s">
        <v>152</v>
      </c>
      <c r="E32" s="6" t="s">
        <v>142</v>
      </c>
      <c r="F32" s="3">
        <v>1</v>
      </c>
      <c r="G32" t="s">
        <v>178</v>
      </c>
      <c r="H32" t="s">
        <v>179</v>
      </c>
      <c r="I32" t="s">
        <v>163</v>
      </c>
      <c r="J32" s="7" t="s">
        <v>31</v>
      </c>
      <c r="K32">
        <f t="shared" si="2"/>
        <v>12</v>
      </c>
      <c r="L32">
        <v>100</v>
      </c>
      <c r="M32" s="4">
        <v>0.006</v>
      </c>
      <c r="N32">
        <f t="shared" si="1"/>
        <v>0.6</v>
      </c>
    </row>
    <row r="33" spans="1:14">
      <c r="A33" s="6" t="s">
        <v>172</v>
      </c>
      <c r="B33" s="6" t="s">
        <v>172</v>
      </c>
      <c r="C33" s="6" t="s">
        <v>180</v>
      </c>
      <c r="D33" s="6" t="s">
        <v>152</v>
      </c>
      <c r="E33" s="6" t="s">
        <v>142</v>
      </c>
      <c r="F33" s="3">
        <v>2</v>
      </c>
      <c r="G33" t="s">
        <v>181</v>
      </c>
      <c r="H33" t="s">
        <v>182</v>
      </c>
      <c r="I33" t="s">
        <v>145</v>
      </c>
      <c r="J33" s="7" t="s">
        <v>52</v>
      </c>
      <c r="K33">
        <f t="shared" si="2"/>
        <v>24</v>
      </c>
      <c r="L33">
        <v>100</v>
      </c>
      <c r="M33" s="4">
        <v>0.01</v>
      </c>
      <c r="N33">
        <f t="shared" si="1"/>
        <v>1</v>
      </c>
    </row>
    <row r="34" spans="1:14">
      <c r="A34" s="6" t="s">
        <v>183</v>
      </c>
      <c r="B34" s="6" t="s">
        <v>183</v>
      </c>
      <c r="C34" s="6" t="s">
        <v>184</v>
      </c>
      <c r="D34" s="6" t="s">
        <v>185</v>
      </c>
      <c r="E34" s="6" t="s">
        <v>142</v>
      </c>
      <c r="F34" s="3">
        <v>2</v>
      </c>
      <c r="G34" t="s">
        <v>186</v>
      </c>
      <c r="H34" t="s">
        <v>187</v>
      </c>
      <c r="I34" t="s">
        <v>163</v>
      </c>
      <c r="J34">
        <v>2512</v>
      </c>
      <c r="K34">
        <f t="shared" si="2"/>
        <v>24</v>
      </c>
      <c r="L34">
        <v>30</v>
      </c>
      <c r="M34" s="4">
        <v>0.11</v>
      </c>
      <c r="N34">
        <f t="shared" si="1"/>
        <v>3.3</v>
      </c>
    </row>
    <row r="35" ht="69.4" spans="1:14">
      <c r="A35" s="6" t="s">
        <v>188</v>
      </c>
      <c r="B35" s="8" t="s">
        <v>189</v>
      </c>
      <c r="C35" s="6" t="s">
        <v>190</v>
      </c>
      <c r="D35" s="6" t="s">
        <v>191</v>
      </c>
      <c r="E35" s="6" t="s">
        <v>192</v>
      </c>
      <c r="F35" s="3">
        <v>1</v>
      </c>
      <c r="M35" s="4"/>
    </row>
    <row r="36" spans="1:14">
      <c r="A36" s="6" t="s">
        <v>193</v>
      </c>
      <c r="B36" s="6" t="s">
        <v>102</v>
      </c>
      <c r="C36" s="6" t="s">
        <v>194</v>
      </c>
      <c r="D36" s="6" t="s">
        <v>195</v>
      </c>
      <c r="E36" s="6" t="s">
        <v>193</v>
      </c>
      <c r="F36" s="3">
        <v>1</v>
      </c>
      <c r="G36" t="s">
        <v>196</v>
      </c>
      <c r="H36" t="s">
        <v>193</v>
      </c>
      <c r="I36" t="s">
        <v>197</v>
      </c>
      <c r="J36" t="s">
        <v>198</v>
      </c>
      <c r="K36">
        <f t="shared" si="2"/>
        <v>12</v>
      </c>
      <c r="L36">
        <v>50</v>
      </c>
      <c r="M36" s="4">
        <v>0.015</v>
      </c>
      <c r="N36">
        <f t="shared" si="1"/>
        <v>0.75</v>
      </c>
    </row>
    <row r="37" spans="1:14">
      <c r="A37" s="6" t="s">
        <v>199</v>
      </c>
      <c r="B37" s="6" t="s">
        <v>199</v>
      </c>
      <c r="C37" s="6" t="s">
        <v>200</v>
      </c>
      <c r="D37" s="6" t="s">
        <v>201</v>
      </c>
      <c r="E37" s="6" t="s">
        <v>199</v>
      </c>
      <c r="F37" s="3">
        <v>2</v>
      </c>
      <c r="G37" t="s">
        <v>202</v>
      </c>
      <c r="H37" t="s">
        <v>199</v>
      </c>
      <c r="I37" t="s">
        <v>203</v>
      </c>
      <c r="J37" t="s">
        <v>204</v>
      </c>
      <c r="K37">
        <f t="shared" si="2"/>
        <v>24</v>
      </c>
      <c r="L37">
        <v>24</v>
      </c>
      <c r="M37" s="4">
        <v>0.42</v>
      </c>
      <c r="N37">
        <f t="shared" si="1"/>
        <v>10.08</v>
      </c>
    </row>
    <row r="38" spans="1:14">
      <c r="A38" s="6" t="s">
        <v>205</v>
      </c>
      <c r="B38" s="6" t="s">
        <v>206</v>
      </c>
      <c r="C38" s="6" t="s">
        <v>207</v>
      </c>
      <c r="D38" s="6" t="s">
        <v>206</v>
      </c>
      <c r="E38" s="6" t="s">
        <v>208</v>
      </c>
      <c r="F38" s="3">
        <v>3</v>
      </c>
      <c r="K38">
        <f t="shared" si="2"/>
        <v>36</v>
      </c>
      <c r="M38" s="4"/>
      <c r="N38">
        <f t="shared" si="1"/>
        <v>0</v>
      </c>
    </row>
    <row r="39" spans="1:14">
      <c r="A39" s="6" t="s">
        <v>102</v>
      </c>
      <c r="B39" s="6" t="s">
        <v>206</v>
      </c>
      <c r="C39" s="6" t="s">
        <v>209</v>
      </c>
      <c r="D39" s="6" t="s">
        <v>206</v>
      </c>
      <c r="E39" s="6" t="s">
        <v>208</v>
      </c>
      <c r="F39" s="3">
        <v>7</v>
      </c>
      <c r="K39">
        <f t="shared" si="2"/>
        <v>84</v>
      </c>
      <c r="M39" s="4"/>
      <c r="N39">
        <f t="shared" si="1"/>
        <v>0</v>
      </c>
    </row>
    <row r="40" spans="1:14">
      <c r="A40" s="6" t="s">
        <v>210</v>
      </c>
      <c r="B40" s="6" t="s">
        <v>211</v>
      </c>
      <c r="C40" s="6" t="s">
        <v>212</v>
      </c>
      <c r="D40" s="6" t="s">
        <v>213</v>
      </c>
      <c r="E40" s="6" t="s">
        <v>214</v>
      </c>
      <c r="F40" s="3">
        <v>1</v>
      </c>
      <c r="G40" t="s">
        <v>215</v>
      </c>
      <c r="H40" t="s">
        <v>210</v>
      </c>
      <c r="I40" t="s">
        <v>216</v>
      </c>
      <c r="J40" t="s">
        <v>217</v>
      </c>
      <c r="K40">
        <f t="shared" si="2"/>
        <v>12</v>
      </c>
      <c r="L40">
        <v>12</v>
      </c>
      <c r="M40" s="4">
        <v>0.28</v>
      </c>
      <c r="N40">
        <f t="shared" si="1"/>
        <v>3.36</v>
      </c>
    </row>
    <row r="41" spans="1:14">
      <c r="A41" s="6" t="s">
        <v>218</v>
      </c>
      <c r="B41" s="6" t="s">
        <v>219</v>
      </c>
      <c r="C41" s="6" t="s">
        <v>220</v>
      </c>
      <c r="D41" s="6" t="s">
        <v>221</v>
      </c>
      <c r="E41" s="6" t="s">
        <v>218</v>
      </c>
      <c r="F41" s="3">
        <v>1</v>
      </c>
      <c r="G41" t="s">
        <v>222</v>
      </c>
      <c r="H41" t="s">
        <v>218</v>
      </c>
      <c r="I41" t="s">
        <v>216</v>
      </c>
      <c r="J41" t="s">
        <v>223</v>
      </c>
      <c r="K41">
        <f t="shared" si="2"/>
        <v>12</v>
      </c>
      <c r="L41">
        <v>12</v>
      </c>
      <c r="M41" s="4">
        <v>0.55</v>
      </c>
      <c r="N41">
        <f t="shared" si="1"/>
        <v>6.6</v>
      </c>
    </row>
    <row r="42" spans="1:14">
      <c r="A42" s="6" t="s">
        <v>224</v>
      </c>
      <c r="B42" s="6" t="s">
        <v>225</v>
      </c>
      <c r="C42" s="6" t="s">
        <v>226</v>
      </c>
      <c r="D42" s="6" t="s">
        <v>227</v>
      </c>
      <c r="E42" s="6" t="s">
        <v>225</v>
      </c>
      <c r="F42" s="3">
        <v>2</v>
      </c>
      <c r="G42" t="s">
        <v>228</v>
      </c>
      <c r="H42" t="s">
        <v>229</v>
      </c>
      <c r="I42" t="s">
        <v>216</v>
      </c>
      <c r="J42" t="s">
        <v>230</v>
      </c>
      <c r="K42">
        <f t="shared" si="2"/>
        <v>24</v>
      </c>
      <c r="L42">
        <v>25</v>
      </c>
      <c r="M42" s="4">
        <v>0.11</v>
      </c>
      <c r="N42">
        <f t="shared" si="1"/>
        <v>2.75</v>
      </c>
    </row>
    <row r="43" spans="1:14">
      <c r="A43" t="s">
        <v>231</v>
      </c>
      <c r="B43" t="s">
        <v>232</v>
      </c>
      <c r="N43">
        <v>22</v>
      </c>
    </row>
    <row r="44" spans="1:14">
      <c r="A44" t="s">
        <v>233</v>
      </c>
      <c r="N44">
        <v>20</v>
      </c>
    </row>
    <row r="45" spans="1:14">
      <c r="A45" t="s">
        <v>234</v>
      </c>
      <c r="N45">
        <v>80</v>
      </c>
    </row>
    <row r="46" spans="1:14">
      <c r="A46" t="s">
        <v>235</v>
      </c>
      <c r="N46">
        <v>15</v>
      </c>
    </row>
    <row r="47" spans="1:14">
      <c r="N47">
        <f>SUM(N2:N46)</f>
        <v>263.12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DC-DC_Isolation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Borsuk</dc:creator>
  <cp:lastModifiedBy>WPS_1666078886</cp:lastModifiedBy>
  <dcterms:created xsi:type="dcterms:W3CDTF">2026-07-27T11:05:00Z</dcterms:created>
  <dcterms:modified xsi:type="dcterms:W3CDTF">2026-07-29T12:44:18Z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EC6EB70FBB274A3A9DC29CAB3700EBDC_12</vt:lpwstr>
  </property>
</Properties>
</file>
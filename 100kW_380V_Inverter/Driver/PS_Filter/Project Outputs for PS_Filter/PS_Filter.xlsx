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/>
  <mc:AlternateContent xmlns:mc="http://schemas.openxmlformats.org/markup-compatibility/2006">
    <mc:Choice Requires="x15">
      <x15ac:absPath xmlns:x15ac="http://schemas.microsoft.com/office/spreadsheetml/2010/11/ac" url="D:\GitHub\Inverters-in-development\100kW_380V_Inverter\Driver\PS_Filter\Project Outputs for PS_Filter\"/>
    </mc:Choice>
  </mc:AlternateContent>
  <xr:revisionPtr revIDLastSave="0" documentId="8_{D0ACB457-D230-4328-AF56-9DA15D359E85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PS_Filter" sheetId="1" r:id="rId1"/>
  </sheets>
  <definedNames>
    <definedName name="_xlnm.Print_Titles" localSheetId="0">PS_Filter!$1:$1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L22" i="1" l="1"/>
  <c r="I22" i="1"/>
  <c r="L21" i="1"/>
  <c r="I21" i="1"/>
  <c r="L20" i="1"/>
  <c r="I20" i="1"/>
  <c r="L19" i="1"/>
  <c r="I19" i="1"/>
  <c r="L18" i="1"/>
  <c r="I18" i="1"/>
  <c r="L17" i="1"/>
  <c r="I17" i="1"/>
  <c r="L16" i="1"/>
  <c r="I16" i="1"/>
  <c r="L15" i="1"/>
  <c r="I15" i="1"/>
  <c r="L14" i="1"/>
  <c r="I14" i="1"/>
  <c r="L13" i="1"/>
  <c r="I13" i="1"/>
  <c r="L12" i="1"/>
  <c r="I12" i="1"/>
  <c r="L11" i="1"/>
  <c r="I11" i="1"/>
  <c r="L10" i="1"/>
  <c r="I10" i="1"/>
  <c r="L9" i="1"/>
  <c r="I9" i="1"/>
  <c r="L8" i="1"/>
  <c r="I8" i="1"/>
  <c r="L7" i="1"/>
  <c r="I7" i="1"/>
  <c r="L6" i="1"/>
  <c r="I6" i="1"/>
  <c r="L5" i="1"/>
  <c r="I5" i="1"/>
  <c r="L4" i="1"/>
  <c r="I4" i="1"/>
  <c r="L3" i="1"/>
  <c r="I3" i="1"/>
  <c r="L2" i="1"/>
  <c r="I2" i="1"/>
</calcChain>
</file>

<file path=xl/sharedStrings.xml><?xml version="1.0" encoding="utf-8"?>
<sst xmlns="http://schemas.openxmlformats.org/spreadsheetml/2006/main" count="165" uniqueCount="120">
  <si>
    <t>Comment</t>
  </si>
  <si>
    <t>Description</t>
  </si>
  <si>
    <t>Designator</t>
  </si>
  <si>
    <t>Footprint</t>
  </si>
  <si>
    <t>LibRef</t>
  </si>
  <si>
    <t>Quantity</t>
  </si>
  <si>
    <t>Model number</t>
  </si>
  <si>
    <t xml:space="preserve">Manufacturer </t>
  </si>
  <si>
    <t>5sets</t>
  </si>
  <si>
    <t>Minimum quantity</t>
  </si>
  <si>
    <t>Unit price</t>
  </si>
  <si>
    <t>Total price</t>
  </si>
  <si>
    <t>550V_470uF</t>
  </si>
  <si>
    <t>C1, C2, C3, C4, C5, C6, C8, C9, C10, C11, C12, C14</t>
  </si>
  <si>
    <t>500V_470uF</t>
  </si>
  <si>
    <t>CAP_POL_LOW_IMP</t>
  </si>
  <si>
    <t>EKP477M25Q60SWSHP</t>
  </si>
  <si>
    <t>SANXIN</t>
  </si>
  <si>
    <t>4,7uF_630V</t>
  </si>
  <si>
    <t>C7, C13</t>
  </si>
  <si>
    <t>CAP_4.7uF_630V</t>
  </si>
  <si>
    <t>CAP-NON-POLAR</t>
  </si>
  <si>
    <t>KP475J2J2603</t>
  </si>
  <si>
    <t>KYET</t>
  </si>
  <si>
    <t>0.1uF</t>
  </si>
  <si>
    <t>C15, C17, C19, C20, C24</t>
  </si>
  <si>
    <t>CAP-0603</t>
  </si>
  <si>
    <t>CC0603KRX7R9BB104</t>
  </si>
  <si>
    <t>YAGEO</t>
  </si>
  <si>
    <t>2.2uF</t>
  </si>
  <si>
    <t>C16, C18, C23</t>
  </si>
  <si>
    <t>0603B225K250NT</t>
  </si>
  <si>
    <t>FH</t>
  </si>
  <si>
    <t>10uF</t>
  </si>
  <si>
    <t>C21, C22</t>
  </si>
  <si>
    <t>CC0603MRX5R8BB106</t>
  </si>
  <si>
    <t>2.2nF</t>
  </si>
  <si>
    <t>C25</t>
  </si>
  <si>
    <t>0603B222K500NT</t>
  </si>
  <si>
    <t>1nF</t>
  </si>
  <si>
    <t>C26</t>
  </si>
  <si>
    <t>CC0603KRX7R9BB102</t>
  </si>
  <si>
    <t>KF136HT-10.16</t>
  </si>
  <si>
    <t>J1, J2, J3, J4, J8, J9, J10, J11</t>
  </si>
  <si>
    <t>Conn_MEIGAN_MG136HT</t>
  </si>
  <si>
    <t>Connector_MEIGAN_MG136HT</t>
  </si>
  <si>
    <t>KEFA</t>
  </si>
  <si>
    <t>18 * 18MM 180A PCB</t>
  </si>
  <si>
    <t>18 * 18MM 180A PCB High Current Solder Terminal Copper Terminal Fastener M8 Nut</t>
  </si>
  <si>
    <t>J5, J6, J7, J14</t>
  </si>
  <si>
    <t>M8 Conn</t>
  </si>
  <si>
    <t>Klema_15_A</t>
  </si>
  <si>
    <t>M8</t>
  </si>
  <si>
    <t>61300611821</t>
  </si>
  <si>
    <t>WR-PHD Socket Header, THT, Vertical, pitch 2.54mm, 1 Row, 6P</t>
  </si>
  <si>
    <t>J12, J13</t>
  </si>
  <si>
    <t>PM254V-11-06-H85</t>
  </si>
  <si>
    <t>XFCN</t>
  </si>
  <si>
    <t>SEV30ADXL</t>
  </si>
  <si>
    <t>5-1000V 30A DC Contactor Power Relay SEV30ADXL Coil 12V</t>
  </si>
  <si>
    <t>K1, K2</t>
  </si>
  <si>
    <t>Relay_1000VDC_30A</t>
  </si>
  <si>
    <t>Relay</t>
  </si>
  <si>
    <t>Relay coil wire</t>
  </si>
  <si>
    <t>K3, K4</t>
  </si>
  <si>
    <t>Relay_Coil</t>
  </si>
  <si>
    <t>Coil_relay</t>
  </si>
  <si>
    <t>N87 40/24/16</t>
  </si>
  <si>
    <t>N87 40/24/16   2x10 Turns 1.5mm</t>
  </si>
  <si>
    <t>L1</t>
  </si>
  <si>
    <t>Drossel_Synphaze</t>
  </si>
  <si>
    <t>t472715-2mh 50A</t>
  </si>
  <si>
    <t>301K</t>
  </si>
  <si>
    <t>301K   1%</t>
  </si>
  <si>
    <t>R1, R2, R4, R5, R6, R8</t>
  </si>
  <si>
    <t>RES-2512</t>
  </si>
  <si>
    <t>RES-CONST</t>
  </si>
  <si>
    <t>301K/1%/2512</t>
  </si>
  <si>
    <t>2.1K</t>
  </si>
  <si>
    <t>2.1K   0.1%</t>
  </si>
  <si>
    <t>R3</t>
  </si>
  <si>
    <t>AC2512FK-072K1L</t>
  </si>
  <si>
    <t>3.5mOhm</t>
  </si>
  <si>
    <t>3.5mOhm 1%  3920</t>
  </si>
  <si>
    <t>R7</t>
  </si>
  <si>
    <t>RES-3921</t>
  </si>
  <si>
    <t>HoXGS1050-5W-4mR-1%</t>
  </si>
  <si>
    <t>Milliohm</t>
  </si>
  <si>
    <t>100</t>
  </si>
  <si>
    <t>100W RX24 Aluminum Power Metal Shell Case Wirewound Resistor 100Omh</t>
  </si>
  <si>
    <t>R9</t>
  </si>
  <si>
    <t>RES_100W_Aluminium</t>
  </si>
  <si>
    <t>HSC100100RJ</t>
  </si>
  <si>
    <t>33 Omh</t>
  </si>
  <si>
    <t>R10, R11, R12, R13</t>
  </si>
  <si>
    <t>RES-0603</t>
  </si>
  <si>
    <t>0603WAF330JT5E</t>
  </si>
  <si>
    <t>UNI-ROYAL</t>
  </si>
  <si>
    <t>AMC1306M25</t>
  </si>
  <si>
    <t>U2</t>
  </si>
  <si>
    <t>FP-DWV0008A-MFG</t>
  </si>
  <si>
    <t>AMC1306M25DWVR</t>
  </si>
  <si>
    <t>TI</t>
  </si>
  <si>
    <t>AMC1336-Q1</t>
  </si>
  <si>
    <t>U3</t>
  </si>
  <si>
    <t>AMC1336</t>
  </si>
  <si>
    <t>AMC1336QDWVRQ1</t>
  </si>
  <si>
    <t>B0505S-1W</t>
  </si>
  <si>
    <t>U4, U5</t>
  </si>
  <si>
    <t>EVISUN</t>
  </si>
  <si>
    <t>PCB</t>
  </si>
  <si>
    <t>FR-4 board, double-sided, 1.6mm thickness, green solder mask with white text, 1oz copper thickness, covered vias, lead-free spray tin</t>
  </si>
  <si>
    <t>SMT Stencil</t>
  </si>
  <si>
    <t>SMT Soldering Cost</t>
  </si>
  <si>
    <t>Freight cost</t>
  </si>
  <si>
    <t>854$</t>
  </si>
  <si>
    <t>47nF_2KV</t>
  </si>
  <si>
    <t>C27, C28</t>
  </si>
  <si>
    <t>47nF_2kV</t>
  </si>
  <si>
    <t>CAP-V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</si>
</sst>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charset val="204"/>
      <scheme val="minor"/>
    </font>
    <font>
      <sz val="11"/>
      <color rgb="FFFF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3D3D3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2" borderId="0" xfId="0" applyFill="1"/>
    <xf numFmtId="0" fontId="0" fillId="2" borderId="1" xfId="0" applyFill="1" applyBorder="1"/>
    <xf numFmtId="0" fontId="0" fillId="0" borderId="1" xfId="0" applyBorder="1"/>
    <xf numFmtId="0" fontId="0" fillId="0" borderId="1" xfId="0" quotePrefix="1" applyBorder="1"/>
    <xf numFmtId="0" fontId="1" fillId="0" borderId="1" xfId="0" quotePrefix="1" applyFont="1" applyBorder="1"/>
    <xf numFmtId="0" fontId="1" fillId="0" borderId="1" xfId="0" applyFont="1" applyBorder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30"/>
  <sheetViews>
    <sheetView tabSelected="1" topLeftCell="A10" workbookViewId="0">
      <selection activeCell="B30" sqref="B30"/>
    </sheetView>
  </sheetViews>
  <sheetFormatPr defaultColWidth="9" defaultRowHeight="14.25" x14ac:dyDescent="0.45"/>
  <cols>
    <col min="1" max="1" width="23.1328125" customWidth="1"/>
    <col min="2" max="2" width="55.9296875" customWidth="1"/>
    <col min="3" max="3" width="18.53125" customWidth="1"/>
    <col min="4" max="4" width="25.06640625" customWidth="1"/>
    <col min="5" max="5" width="18.53125" customWidth="1"/>
    <col min="6" max="6" width="8.265625" customWidth="1"/>
    <col min="7" max="7" width="18.53125" customWidth="1"/>
    <col min="8" max="8" width="10.86328125" customWidth="1"/>
  </cols>
  <sheetData>
    <row r="1" spans="1:13" s="1" customFormat="1" x14ac:dyDescent="0.4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3" x14ac:dyDescent="0.45">
      <c r="A2" s="4" t="s">
        <v>12</v>
      </c>
      <c r="B2" s="4" t="s">
        <v>12</v>
      </c>
      <c r="C2" s="4" t="s">
        <v>13</v>
      </c>
      <c r="D2" s="4" t="s">
        <v>14</v>
      </c>
      <c r="E2" s="4" t="s">
        <v>15</v>
      </c>
      <c r="F2" s="3">
        <v>12</v>
      </c>
      <c r="G2" s="3" t="s">
        <v>16</v>
      </c>
      <c r="H2" s="3" t="s">
        <v>17</v>
      </c>
      <c r="I2" s="3">
        <f>F2*5</f>
        <v>60</v>
      </c>
      <c r="J2" s="3">
        <v>60</v>
      </c>
      <c r="K2" s="3">
        <v>2.9</v>
      </c>
      <c r="L2" s="3">
        <f>J2*K2</f>
        <v>174</v>
      </c>
      <c r="M2" s="3"/>
    </row>
    <row r="3" spans="1:13" x14ac:dyDescent="0.45">
      <c r="A3" s="4" t="s">
        <v>18</v>
      </c>
      <c r="B3" s="4" t="s">
        <v>18</v>
      </c>
      <c r="C3" s="4" t="s">
        <v>19</v>
      </c>
      <c r="D3" s="4" t="s">
        <v>20</v>
      </c>
      <c r="E3" s="4" t="s">
        <v>21</v>
      </c>
      <c r="F3" s="3">
        <v>2</v>
      </c>
      <c r="G3" s="3" t="s">
        <v>22</v>
      </c>
      <c r="H3" s="3" t="s">
        <v>23</v>
      </c>
      <c r="I3" s="3">
        <f t="shared" ref="I3:I22" si="0">F3*5</f>
        <v>10</v>
      </c>
      <c r="J3" s="3">
        <v>10</v>
      </c>
      <c r="K3" s="3">
        <v>0.36</v>
      </c>
      <c r="L3" s="3">
        <f t="shared" ref="L3:L22" si="1">J3*K3</f>
        <v>3.6</v>
      </c>
      <c r="M3" s="3"/>
    </row>
    <row r="4" spans="1:13" x14ac:dyDescent="0.45">
      <c r="A4" s="4" t="s">
        <v>24</v>
      </c>
      <c r="B4" s="4" t="s">
        <v>24</v>
      </c>
      <c r="C4" s="4" t="s">
        <v>25</v>
      </c>
      <c r="D4" s="4" t="s">
        <v>26</v>
      </c>
      <c r="E4" s="4" t="s">
        <v>21</v>
      </c>
      <c r="F4" s="3">
        <v>5</v>
      </c>
      <c r="G4" s="3" t="s">
        <v>27</v>
      </c>
      <c r="H4" s="3" t="s">
        <v>28</v>
      </c>
      <c r="I4" s="3">
        <f t="shared" si="0"/>
        <v>25</v>
      </c>
      <c r="J4" s="3">
        <v>100</v>
      </c>
      <c r="K4" s="3">
        <v>3.0000000000000001E-3</v>
      </c>
      <c r="L4" s="3">
        <f t="shared" si="1"/>
        <v>0.3</v>
      </c>
      <c r="M4" s="3"/>
    </row>
    <row r="5" spans="1:13" x14ac:dyDescent="0.45">
      <c r="A5" s="4" t="s">
        <v>29</v>
      </c>
      <c r="B5" s="4" t="s">
        <v>29</v>
      </c>
      <c r="C5" s="4" t="s">
        <v>30</v>
      </c>
      <c r="D5" s="4" t="s">
        <v>26</v>
      </c>
      <c r="E5" s="4" t="s">
        <v>21</v>
      </c>
      <c r="F5" s="3">
        <v>3</v>
      </c>
      <c r="G5" s="3" t="s">
        <v>31</v>
      </c>
      <c r="H5" s="3" t="s">
        <v>32</v>
      </c>
      <c r="I5" s="3">
        <f t="shared" si="0"/>
        <v>15</v>
      </c>
      <c r="J5" s="3">
        <v>20</v>
      </c>
      <c r="K5" s="3">
        <v>3.5999999999999997E-2</v>
      </c>
      <c r="L5" s="3">
        <f t="shared" si="1"/>
        <v>0.72</v>
      </c>
      <c r="M5" s="3"/>
    </row>
    <row r="6" spans="1:13" x14ac:dyDescent="0.45">
      <c r="A6" s="4" t="s">
        <v>33</v>
      </c>
      <c r="B6" s="4" t="s">
        <v>33</v>
      </c>
      <c r="C6" s="4" t="s">
        <v>34</v>
      </c>
      <c r="D6" s="4" t="s">
        <v>26</v>
      </c>
      <c r="E6" s="4" t="s">
        <v>21</v>
      </c>
      <c r="F6" s="3">
        <v>2</v>
      </c>
      <c r="G6" s="3" t="s">
        <v>35</v>
      </c>
      <c r="H6" s="3" t="s">
        <v>28</v>
      </c>
      <c r="I6" s="3">
        <f t="shared" si="0"/>
        <v>10</v>
      </c>
      <c r="J6" s="3">
        <v>20</v>
      </c>
      <c r="K6" s="3">
        <v>4.2999999999999997E-2</v>
      </c>
      <c r="L6" s="3">
        <f t="shared" si="1"/>
        <v>0.86</v>
      </c>
      <c r="M6" s="3"/>
    </row>
    <row r="7" spans="1:13" x14ac:dyDescent="0.45">
      <c r="A7" s="4" t="s">
        <v>36</v>
      </c>
      <c r="B7" s="4" t="s">
        <v>36</v>
      </c>
      <c r="C7" s="4" t="s">
        <v>37</v>
      </c>
      <c r="D7" s="4" t="s">
        <v>26</v>
      </c>
      <c r="E7" s="4" t="s">
        <v>21</v>
      </c>
      <c r="F7" s="3">
        <v>1</v>
      </c>
      <c r="G7" s="3" t="s">
        <v>38</v>
      </c>
      <c r="H7" s="3" t="s">
        <v>32</v>
      </c>
      <c r="I7" s="3">
        <f t="shared" si="0"/>
        <v>5</v>
      </c>
      <c r="J7" s="3">
        <v>50</v>
      </c>
      <c r="K7" s="3">
        <v>5.0000000000000001E-3</v>
      </c>
      <c r="L7" s="3">
        <f t="shared" si="1"/>
        <v>0.25</v>
      </c>
      <c r="M7" s="3"/>
    </row>
    <row r="8" spans="1:13" x14ac:dyDescent="0.45">
      <c r="A8" s="4" t="s">
        <v>39</v>
      </c>
      <c r="B8" s="4" t="s">
        <v>39</v>
      </c>
      <c r="C8" s="4" t="s">
        <v>40</v>
      </c>
      <c r="D8" s="4" t="s">
        <v>26</v>
      </c>
      <c r="E8" s="4" t="s">
        <v>21</v>
      </c>
      <c r="F8" s="3">
        <v>1</v>
      </c>
      <c r="G8" s="3" t="s">
        <v>41</v>
      </c>
      <c r="H8" s="3" t="s">
        <v>28</v>
      </c>
      <c r="I8" s="3">
        <f t="shared" si="0"/>
        <v>5</v>
      </c>
      <c r="J8" s="3">
        <v>50</v>
      </c>
      <c r="K8" s="3">
        <v>3.0000000000000001E-3</v>
      </c>
      <c r="L8" s="3">
        <f t="shared" si="1"/>
        <v>0.15</v>
      </c>
      <c r="M8" s="3"/>
    </row>
    <row r="9" spans="1:13" x14ac:dyDescent="0.45">
      <c r="A9" s="4" t="s">
        <v>42</v>
      </c>
      <c r="B9" s="4" t="s">
        <v>42</v>
      </c>
      <c r="C9" s="4" t="s">
        <v>43</v>
      </c>
      <c r="D9" s="4" t="s">
        <v>44</v>
      </c>
      <c r="E9" s="4" t="s">
        <v>45</v>
      </c>
      <c r="F9" s="3">
        <v>8</v>
      </c>
      <c r="G9" s="3" t="s">
        <v>42</v>
      </c>
      <c r="H9" s="3" t="s">
        <v>46</v>
      </c>
      <c r="I9" s="3">
        <f t="shared" si="0"/>
        <v>40</v>
      </c>
      <c r="J9" s="3">
        <v>40</v>
      </c>
      <c r="K9" s="3">
        <v>0.28999999999999998</v>
      </c>
      <c r="L9" s="3">
        <f t="shared" si="1"/>
        <v>11.6</v>
      </c>
      <c r="M9" s="3"/>
    </row>
    <row r="10" spans="1:13" x14ac:dyDescent="0.45">
      <c r="A10" s="4" t="s">
        <v>47</v>
      </c>
      <c r="B10" s="4" t="s">
        <v>48</v>
      </c>
      <c r="C10" s="4" t="s">
        <v>49</v>
      </c>
      <c r="D10" s="4" t="s">
        <v>50</v>
      </c>
      <c r="E10" s="4" t="s">
        <v>51</v>
      </c>
      <c r="F10" s="3">
        <v>4</v>
      </c>
      <c r="G10" s="4" t="s">
        <v>47</v>
      </c>
      <c r="H10" s="3" t="s">
        <v>52</v>
      </c>
      <c r="I10" s="3">
        <f t="shared" si="0"/>
        <v>20</v>
      </c>
      <c r="J10" s="3">
        <v>20</v>
      </c>
      <c r="K10" s="3">
        <v>0.86</v>
      </c>
      <c r="L10" s="3">
        <f t="shared" si="1"/>
        <v>17.2</v>
      </c>
      <c r="M10" s="3"/>
    </row>
    <row r="11" spans="1:13" x14ac:dyDescent="0.45">
      <c r="A11" s="4" t="s">
        <v>53</v>
      </c>
      <c r="B11" s="4" t="s">
        <v>54</v>
      </c>
      <c r="C11" s="4" t="s">
        <v>55</v>
      </c>
      <c r="D11" s="4" t="s">
        <v>53</v>
      </c>
      <c r="E11" s="4" t="s">
        <v>53</v>
      </c>
      <c r="F11" s="3">
        <v>2</v>
      </c>
      <c r="G11" s="3" t="s">
        <v>56</v>
      </c>
      <c r="H11" s="3" t="s">
        <v>57</v>
      </c>
      <c r="I11" s="3">
        <f t="shared" si="0"/>
        <v>10</v>
      </c>
      <c r="J11" s="3">
        <v>10</v>
      </c>
      <c r="K11" s="3">
        <v>8.5999999999999993E-2</v>
      </c>
      <c r="L11" s="3">
        <f t="shared" si="1"/>
        <v>0.86</v>
      </c>
      <c r="M11" s="3"/>
    </row>
    <row r="12" spans="1:13" x14ac:dyDescent="0.45">
      <c r="A12" s="4" t="s">
        <v>58</v>
      </c>
      <c r="B12" s="4" t="s">
        <v>59</v>
      </c>
      <c r="C12" s="4" t="s">
        <v>60</v>
      </c>
      <c r="D12" s="4" t="s">
        <v>61</v>
      </c>
      <c r="E12" s="4" t="s">
        <v>62</v>
      </c>
      <c r="F12" s="3">
        <v>2</v>
      </c>
      <c r="G12" s="4" t="s">
        <v>58</v>
      </c>
      <c r="H12" s="3"/>
      <c r="I12" s="3">
        <f t="shared" si="0"/>
        <v>10</v>
      </c>
      <c r="J12" s="3">
        <v>10</v>
      </c>
      <c r="K12" s="3">
        <v>17.8</v>
      </c>
      <c r="L12" s="3">
        <f t="shared" si="1"/>
        <v>178</v>
      </c>
      <c r="M12" s="3"/>
    </row>
    <row r="13" spans="1:13" x14ac:dyDescent="0.45">
      <c r="A13" s="4" t="s">
        <v>63</v>
      </c>
      <c r="B13" s="4" t="s">
        <v>63</v>
      </c>
      <c r="C13" s="4" t="s">
        <v>64</v>
      </c>
      <c r="D13" s="4" t="s">
        <v>65</v>
      </c>
      <c r="E13" s="4" t="s">
        <v>66</v>
      </c>
      <c r="F13" s="3">
        <v>2</v>
      </c>
      <c r="G13" s="3"/>
      <c r="H13" s="3"/>
      <c r="I13" s="3">
        <f t="shared" si="0"/>
        <v>10</v>
      </c>
      <c r="J13" s="3"/>
      <c r="K13" s="3"/>
      <c r="L13" s="3">
        <f t="shared" si="1"/>
        <v>0</v>
      </c>
      <c r="M13" s="3"/>
    </row>
    <row r="14" spans="1:13" x14ac:dyDescent="0.45">
      <c r="A14" s="4" t="s">
        <v>67</v>
      </c>
      <c r="B14" s="4" t="s">
        <v>68</v>
      </c>
      <c r="C14" s="4" t="s">
        <v>69</v>
      </c>
      <c r="D14" s="4" t="s">
        <v>70</v>
      </c>
      <c r="E14" s="4" t="s">
        <v>70</v>
      </c>
      <c r="F14" s="3">
        <v>1</v>
      </c>
      <c r="G14" s="3" t="s">
        <v>71</v>
      </c>
      <c r="H14" s="3"/>
      <c r="I14" s="3">
        <f t="shared" si="0"/>
        <v>5</v>
      </c>
      <c r="J14" s="3">
        <v>5</v>
      </c>
      <c r="K14" s="3">
        <v>7.4</v>
      </c>
      <c r="L14" s="3">
        <f t="shared" si="1"/>
        <v>37</v>
      </c>
      <c r="M14" s="3"/>
    </row>
    <row r="15" spans="1:13" x14ac:dyDescent="0.45">
      <c r="A15" s="4" t="s">
        <v>72</v>
      </c>
      <c r="B15" s="4" t="s">
        <v>73</v>
      </c>
      <c r="C15" s="4" t="s">
        <v>74</v>
      </c>
      <c r="D15" s="4" t="s">
        <v>75</v>
      </c>
      <c r="E15" s="4" t="s">
        <v>76</v>
      </c>
      <c r="F15" s="3">
        <v>6</v>
      </c>
      <c r="G15" s="3" t="s">
        <v>77</v>
      </c>
      <c r="H15" s="3" t="s">
        <v>28</v>
      </c>
      <c r="I15" s="3">
        <f t="shared" si="0"/>
        <v>30</v>
      </c>
      <c r="J15" s="3">
        <v>50</v>
      </c>
      <c r="K15" s="3">
        <v>0.06</v>
      </c>
      <c r="L15" s="3">
        <f t="shared" si="1"/>
        <v>3</v>
      </c>
      <c r="M15" s="3"/>
    </row>
    <row r="16" spans="1:13" x14ac:dyDescent="0.45">
      <c r="A16" s="4" t="s">
        <v>78</v>
      </c>
      <c r="B16" s="4" t="s">
        <v>79</v>
      </c>
      <c r="C16" s="4" t="s">
        <v>80</v>
      </c>
      <c r="D16" s="4" t="s">
        <v>75</v>
      </c>
      <c r="E16" s="4" t="s">
        <v>76</v>
      </c>
      <c r="F16" s="3">
        <v>1</v>
      </c>
      <c r="G16" s="3" t="s">
        <v>81</v>
      </c>
      <c r="H16" s="3" t="s">
        <v>28</v>
      </c>
      <c r="I16" s="3">
        <f t="shared" si="0"/>
        <v>5</v>
      </c>
      <c r="J16" s="3">
        <v>10</v>
      </c>
      <c r="K16" s="3">
        <v>0.06</v>
      </c>
      <c r="L16" s="3">
        <f t="shared" si="1"/>
        <v>0.6</v>
      </c>
      <c r="M16" s="3"/>
    </row>
    <row r="17" spans="1:13" x14ac:dyDescent="0.45">
      <c r="A17" s="4" t="s">
        <v>82</v>
      </c>
      <c r="B17" s="4" t="s">
        <v>83</v>
      </c>
      <c r="C17" s="4" t="s">
        <v>84</v>
      </c>
      <c r="D17" s="4" t="s">
        <v>85</v>
      </c>
      <c r="E17" s="4" t="s">
        <v>76</v>
      </c>
      <c r="F17" s="3">
        <v>1</v>
      </c>
      <c r="G17" s="3" t="s">
        <v>86</v>
      </c>
      <c r="H17" s="3" t="s">
        <v>87</v>
      </c>
      <c r="I17" s="3">
        <f t="shared" si="0"/>
        <v>5</v>
      </c>
      <c r="J17" s="3">
        <v>5</v>
      </c>
      <c r="K17" s="3">
        <v>0.3</v>
      </c>
      <c r="L17" s="3">
        <f t="shared" si="1"/>
        <v>1.5</v>
      </c>
      <c r="M17" s="3"/>
    </row>
    <row r="18" spans="1:13" x14ac:dyDescent="0.45">
      <c r="A18" s="4" t="s">
        <v>88</v>
      </c>
      <c r="B18" s="4" t="s">
        <v>89</v>
      </c>
      <c r="C18" s="4" t="s">
        <v>90</v>
      </c>
      <c r="D18" s="4" t="s">
        <v>91</v>
      </c>
      <c r="E18" s="4" t="s">
        <v>76</v>
      </c>
      <c r="F18" s="3">
        <v>1</v>
      </c>
      <c r="G18" s="3" t="s">
        <v>92</v>
      </c>
      <c r="H18" s="3"/>
      <c r="I18" s="3">
        <f t="shared" si="0"/>
        <v>5</v>
      </c>
      <c r="J18" s="3">
        <v>5</v>
      </c>
      <c r="K18" s="3">
        <v>1.5</v>
      </c>
      <c r="L18" s="3">
        <f t="shared" si="1"/>
        <v>7.5</v>
      </c>
      <c r="M18" s="3"/>
    </row>
    <row r="19" spans="1:13" x14ac:dyDescent="0.45">
      <c r="A19" s="4" t="s">
        <v>93</v>
      </c>
      <c r="B19" s="4" t="s">
        <v>93</v>
      </c>
      <c r="C19" s="4" t="s">
        <v>94</v>
      </c>
      <c r="D19" s="4" t="s">
        <v>95</v>
      </c>
      <c r="E19" s="4" t="s">
        <v>76</v>
      </c>
      <c r="F19" s="3">
        <v>4</v>
      </c>
      <c r="G19" s="3" t="s">
        <v>96</v>
      </c>
      <c r="H19" s="3" t="s">
        <v>97</v>
      </c>
      <c r="I19" s="3">
        <f t="shared" si="0"/>
        <v>20</v>
      </c>
      <c r="J19" s="3">
        <v>100</v>
      </c>
      <c r="K19" s="3">
        <v>2E-3</v>
      </c>
      <c r="L19" s="3">
        <f t="shared" si="1"/>
        <v>0.2</v>
      </c>
      <c r="M19" s="3"/>
    </row>
    <row r="20" spans="1:13" x14ac:dyDescent="0.45">
      <c r="A20" s="4" t="s">
        <v>98</v>
      </c>
      <c r="B20" s="4" t="s">
        <v>98</v>
      </c>
      <c r="C20" s="4" t="s">
        <v>99</v>
      </c>
      <c r="D20" s="4" t="s">
        <v>100</v>
      </c>
      <c r="E20" s="4" t="s">
        <v>98</v>
      </c>
      <c r="F20" s="3">
        <v>1</v>
      </c>
      <c r="G20" s="3" t="s">
        <v>101</v>
      </c>
      <c r="H20" s="3" t="s">
        <v>102</v>
      </c>
      <c r="I20" s="3">
        <f t="shared" si="0"/>
        <v>5</v>
      </c>
      <c r="J20" s="3">
        <v>5</v>
      </c>
      <c r="K20" s="3">
        <v>1.6</v>
      </c>
      <c r="L20" s="3">
        <f t="shared" si="1"/>
        <v>8</v>
      </c>
      <c r="M20" s="3"/>
    </row>
    <row r="21" spans="1:13" x14ac:dyDescent="0.45">
      <c r="A21" s="4" t="s">
        <v>103</v>
      </c>
      <c r="B21" s="4" t="s">
        <v>103</v>
      </c>
      <c r="C21" s="4" t="s">
        <v>104</v>
      </c>
      <c r="D21" s="4" t="s">
        <v>100</v>
      </c>
      <c r="E21" s="4" t="s">
        <v>105</v>
      </c>
      <c r="F21" s="3">
        <v>1</v>
      </c>
      <c r="G21" s="3" t="s">
        <v>106</v>
      </c>
      <c r="H21" s="3" t="s">
        <v>102</v>
      </c>
      <c r="I21" s="3">
        <f t="shared" si="0"/>
        <v>5</v>
      </c>
      <c r="J21" s="3">
        <v>5</v>
      </c>
      <c r="K21" s="3">
        <v>4</v>
      </c>
      <c r="L21" s="3">
        <f t="shared" si="1"/>
        <v>20</v>
      </c>
      <c r="M21" s="3"/>
    </row>
    <row r="22" spans="1:13" x14ac:dyDescent="0.45">
      <c r="A22" s="4" t="s">
        <v>107</v>
      </c>
      <c r="B22" s="4" t="s">
        <v>107</v>
      </c>
      <c r="C22" s="4" t="s">
        <v>108</v>
      </c>
      <c r="D22" s="4" t="s">
        <v>107</v>
      </c>
      <c r="E22" s="4" t="s">
        <v>107</v>
      </c>
      <c r="F22" s="3">
        <v>2</v>
      </c>
      <c r="G22" s="3" t="s">
        <v>107</v>
      </c>
      <c r="H22" s="3" t="s">
        <v>109</v>
      </c>
      <c r="I22" s="3">
        <f t="shared" si="0"/>
        <v>10</v>
      </c>
      <c r="J22" s="3">
        <v>10</v>
      </c>
      <c r="K22" s="3">
        <v>0.5</v>
      </c>
      <c r="L22" s="3">
        <f t="shared" si="1"/>
        <v>5</v>
      </c>
      <c r="M22" s="3"/>
    </row>
    <row r="23" spans="1:13" x14ac:dyDescent="0.45">
      <c r="A23" s="3" t="s">
        <v>110</v>
      </c>
      <c r="B23" s="3" t="s">
        <v>111</v>
      </c>
      <c r="C23" s="3"/>
      <c r="D23" s="3"/>
      <c r="E23" s="3"/>
      <c r="F23" s="3">
        <v>5</v>
      </c>
      <c r="G23" s="3"/>
      <c r="H23" s="3"/>
      <c r="I23" s="3">
        <v>5</v>
      </c>
      <c r="J23" s="3"/>
      <c r="K23" s="3"/>
      <c r="L23" s="3">
        <v>44</v>
      </c>
      <c r="M23" s="3"/>
    </row>
    <row r="24" spans="1:13" x14ac:dyDescent="0.45">
      <c r="A24" s="3" t="s">
        <v>112</v>
      </c>
      <c r="B24" s="3"/>
      <c r="C24" s="3"/>
      <c r="D24" s="3"/>
      <c r="E24" s="3"/>
      <c r="F24" s="3">
        <v>1</v>
      </c>
      <c r="G24" s="3"/>
      <c r="H24" s="3"/>
      <c r="I24" s="3">
        <v>1</v>
      </c>
      <c r="J24" s="3"/>
      <c r="K24" s="3"/>
      <c r="L24" s="3">
        <v>20</v>
      </c>
      <c r="M24" s="3"/>
    </row>
    <row r="25" spans="1:13" x14ac:dyDescent="0.45">
      <c r="A25" s="3" t="s">
        <v>113</v>
      </c>
      <c r="B25" s="3"/>
      <c r="C25" s="3"/>
      <c r="D25" s="3"/>
      <c r="E25" s="3"/>
      <c r="F25" s="3">
        <v>5</v>
      </c>
      <c r="G25" s="3"/>
      <c r="H25" s="3"/>
      <c r="I25" s="3">
        <v>5</v>
      </c>
      <c r="J25" s="3"/>
      <c r="K25" s="3"/>
      <c r="L25" s="3">
        <v>200</v>
      </c>
      <c r="M25" s="3"/>
    </row>
    <row r="26" spans="1:13" x14ac:dyDescent="0.45">
      <c r="A26" s="3" t="s">
        <v>114</v>
      </c>
      <c r="B26" s="3"/>
      <c r="C26" s="3"/>
      <c r="D26" s="3"/>
      <c r="E26" s="3"/>
      <c r="F26" s="3">
        <v>5</v>
      </c>
      <c r="G26" s="3"/>
      <c r="H26" s="3"/>
      <c r="I26" s="3">
        <v>5</v>
      </c>
      <c r="J26" s="3"/>
      <c r="K26" s="3"/>
      <c r="L26" s="3">
        <v>120</v>
      </c>
      <c r="M26" s="3"/>
    </row>
    <row r="27" spans="1:13" x14ac:dyDescent="0.45">
      <c r="A27" s="5" t="s">
        <v>116</v>
      </c>
      <c r="B27" s="5" t="s">
        <v>116</v>
      </c>
      <c r="C27" s="5" t="s">
        <v>117</v>
      </c>
      <c r="D27" s="5" t="s">
        <v>118</v>
      </c>
      <c r="E27" s="5" t="s">
        <v>119</v>
      </c>
      <c r="F27" s="6">
        <v>10</v>
      </c>
      <c r="G27" s="3"/>
      <c r="H27" s="3"/>
      <c r="I27" s="3"/>
      <c r="J27" s="3"/>
      <c r="K27" s="3"/>
      <c r="L27" s="3" t="s">
        <v>115</v>
      </c>
      <c r="M27" s="3"/>
    </row>
    <row r="28" spans="1:13" x14ac:dyDescent="0.45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</row>
    <row r="29" spans="1:13" x14ac:dyDescent="0.45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</row>
    <row r="30" spans="1:13" x14ac:dyDescent="0.45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</row>
  </sheetData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PS_Filter</vt:lpstr>
      <vt:lpstr>PS_Filter!Заголовки_для_печати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Vladimir Borsuk</dc:creator>
  <cp:lastModifiedBy>Vladimir Borsuk</cp:lastModifiedBy>
  <dcterms:created xsi:type="dcterms:W3CDTF">2026-05-25T09:42:00Z</dcterms:created>
  <dcterms:modified xsi:type="dcterms:W3CDTF">2026-05-31T14:58:30Z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CalculationRule">
    <vt:i4>0</vt:i4>
  </property>
  <property fmtid="{D5CDD505-2E9C-101B-9397-08002B2CF9AE}" pid="4" name="ICV">
    <vt:lpwstr>4E1BAD25632142E7B4EDCCE2E745B56C_12</vt:lpwstr>
  </property>
</Properties>
</file>
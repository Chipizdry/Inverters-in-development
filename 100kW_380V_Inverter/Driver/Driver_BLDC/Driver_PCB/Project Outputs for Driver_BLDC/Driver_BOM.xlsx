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GitHub\Inverters-in-development\100kW_380V_Inverter\Driver\Driver_BLDC\Driver_PCB\Project Outputs for Driver_BLDC\"/>
    </mc:Choice>
  </mc:AlternateContent>
  <xr:revisionPtr revIDLastSave="0" documentId="13_ncr:1_{B105CE5A-2AFF-4F04-88D6-0826417FCA4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river_BLDC" sheetId="1" r:id="rId1"/>
  </sheets>
  <definedNames>
    <definedName name="_xlnm.Print_Titles" localSheetId="0">Driver_BLDC!$1:$1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2" i="1" l="1"/>
  <c r="J92" i="1"/>
  <c r="M91" i="1"/>
  <c r="J91" i="1"/>
  <c r="M90" i="1"/>
  <c r="J90" i="1"/>
  <c r="M89" i="1"/>
  <c r="J89" i="1"/>
  <c r="M88" i="1"/>
  <c r="J88" i="1"/>
  <c r="M87" i="1"/>
  <c r="J87" i="1"/>
  <c r="M86" i="1"/>
  <c r="J86" i="1"/>
  <c r="M85" i="1"/>
  <c r="J85" i="1"/>
  <c r="M84" i="1"/>
  <c r="J84" i="1"/>
  <c r="M83" i="1"/>
  <c r="J83" i="1"/>
  <c r="M82" i="1"/>
  <c r="J82" i="1"/>
  <c r="M81" i="1"/>
  <c r="J81" i="1"/>
  <c r="M80" i="1"/>
  <c r="J80" i="1"/>
  <c r="M79" i="1"/>
  <c r="J79" i="1"/>
  <c r="M78" i="1"/>
  <c r="J78" i="1"/>
  <c r="M77" i="1"/>
  <c r="J77" i="1"/>
  <c r="M76" i="1"/>
  <c r="J76" i="1"/>
  <c r="M75" i="1"/>
  <c r="J75" i="1"/>
  <c r="M74" i="1"/>
  <c r="J74" i="1"/>
  <c r="M73" i="1"/>
  <c r="J73" i="1"/>
  <c r="M72" i="1"/>
  <c r="J72" i="1"/>
  <c r="M71" i="1"/>
  <c r="J71" i="1"/>
  <c r="M70" i="1"/>
  <c r="J70" i="1"/>
  <c r="M69" i="1"/>
  <c r="J69" i="1"/>
  <c r="M68" i="1"/>
  <c r="J68" i="1"/>
  <c r="M67" i="1"/>
  <c r="J67" i="1"/>
  <c r="M66" i="1"/>
  <c r="J66" i="1"/>
  <c r="M65" i="1"/>
  <c r="J65" i="1"/>
  <c r="M64" i="1"/>
  <c r="J64" i="1"/>
  <c r="M63" i="1"/>
  <c r="J63" i="1"/>
  <c r="M62" i="1"/>
  <c r="J62" i="1"/>
  <c r="M61" i="1"/>
  <c r="J61" i="1"/>
  <c r="M60" i="1"/>
  <c r="J60" i="1"/>
  <c r="M59" i="1"/>
  <c r="J59" i="1"/>
  <c r="M58" i="1"/>
  <c r="J58" i="1"/>
  <c r="M57" i="1"/>
  <c r="J57" i="1"/>
  <c r="M56" i="1"/>
  <c r="J56" i="1"/>
  <c r="M55" i="1"/>
  <c r="J55" i="1"/>
  <c r="M54" i="1"/>
  <c r="J54" i="1"/>
  <c r="M53" i="1"/>
  <c r="J53" i="1"/>
  <c r="M52" i="1"/>
  <c r="J52" i="1"/>
  <c r="M51" i="1"/>
  <c r="J51" i="1"/>
  <c r="M50" i="1"/>
  <c r="J50" i="1"/>
  <c r="M49" i="1"/>
  <c r="J49" i="1"/>
  <c r="M48" i="1"/>
  <c r="J48" i="1"/>
  <c r="M47" i="1"/>
  <c r="J47" i="1"/>
  <c r="M46" i="1"/>
  <c r="J46" i="1"/>
  <c r="M45" i="1"/>
  <c r="J45" i="1"/>
  <c r="M44" i="1"/>
  <c r="J44" i="1"/>
  <c r="M43" i="1"/>
  <c r="J43" i="1"/>
  <c r="M42" i="1"/>
  <c r="J42" i="1"/>
  <c r="M41" i="1"/>
  <c r="J41" i="1"/>
  <c r="M40" i="1"/>
  <c r="J40" i="1"/>
  <c r="M39" i="1"/>
  <c r="J39" i="1"/>
  <c r="M38" i="1"/>
  <c r="J38" i="1"/>
  <c r="M37" i="1"/>
  <c r="J37" i="1"/>
  <c r="M36" i="1"/>
  <c r="J36" i="1"/>
  <c r="M35" i="1"/>
  <c r="J35" i="1"/>
  <c r="M34" i="1"/>
  <c r="J34" i="1"/>
  <c r="M33" i="1"/>
  <c r="J33" i="1"/>
  <c r="M32" i="1"/>
  <c r="J32" i="1"/>
  <c r="M31" i="1"/>
  <c r="J31" i="1"/>
  <c r="M30" i="1"/>
  <c r="J30" i="1"/>
  <c r="M29" i="1"/>
  <c r="J29" i="1"/>
  <c r="M28" i="1"/>
  <c r="J28" i="1"/>
  <c r="M27" i="1"/>
  <c r="J27" i="1"/>
  <c r="M26" i="1"/>
  <c r="J26" i="1"/>
  <c r="M25" i="1"/>
  <c r="J25" i="1"/>
  <c r="M24" i="1"/>
  <c r="J24" i="1"/>
  <c r="M23" i="1"/>
  <c r="J23" i="1"/>
  <c r="M22" i="1"/>
  <c r="J22" i="1"/>
  <c r="M21" i="1"/>
  <c r="J21" i="1"/>
  <c r="M20" i="1"/>
  <c r="J20" i="1"/>
  <c r="M19" i="1"/>
  <c r="J19" i="1"/>
  <c r="M18" i="1"/>
  <c r="J18" i="1"/>
  <c r="M17" i="1"/>
  <c r="J17" i="1"/>
  <c r="M16" i="1"/>
  <c r="J16" i="1"/>
  <c r="M15" i="1"/>
  <c r="J15" i="1"/>
  <c r="M14" i="1"/>
  <c r="J14" i="1"/>
  <c r="M13" i="1"/>
  <c r="J13" i="1"/>
  <c r="M12" i="1"/>
  <c r="J12" i="1"/>
  <c r="M11" i="1"/>
  <c r="J11" i="1"/>
  <c r="M10" i="1"/>
  <c r="J10" i="1"/>
  <c r="M9" i="1"/>
  <c r="J9" i="1"/>
  <c r="M8" i="1"/>
  <c r="J8" i="1"/>
  <c r="M7" i="1"/>
  <c r="J7" i="1"/>
  <c r="M6" i="1"/>
  <c r="J6" i="1"/>
  <c r="M5" i="1"/>
  <c r="J5" i="1"/>
  <c r="M4" i="1"/>
  <c r="J4" i="1"/>
  <c r="M3" i="1"/>
  <c r="J3" i="1"/>
  <c r="M2" i="1"/>
  <c r="J2" i="1"/>
</calcChain>
</file>

<file path=xl/sharedStrings.xml><?xml version="1.0" encoding="utf-8"?>
<sst xmlns="http://schemas.openxmlformats.org/spreadsheetml/2006/main" count="704" uniqueCount="414">
  <si>
    <t>Comment</t>
  </si>
  <si>
    <t>Description</t>
  </si>
  <si>
    <t>Designator</t>
  </si>
  <si>
    <t>Footprint</t>
  </si>
  <si>
    <t>LibRef</t>
  </si>
  <si>
    <t>Quantity</t>
  </si>
  <si>
    <t>Model number</t>
  </si>
  <si>
    <t xml:space="preserve">Manufacturer </t>
  </si>
  <si>
    <t>Volume</t>
  </si>
  <si>
    <t>5 sets</t>
  </si>
  <si>
    <t>Minimum quantity</t>
  </si>
  <si>
    <t>Unit price</t>
  </si>
  <si>
    <t>Total price</t>
  </si>
  <si>
    <t>330pF</t>
  </si>
  <si>
    <t>C1, C2, C3, C87, C89, C90</t>
  </si>
  <si>
    <t>CAP-0805</t>
  </si>
  <si>
    <t>CAP-NON-POLAR</t>
  </si>
  <si>
    <t>0805B331K500NT</t>
  </si>
  <si>
    <t>FH</t>
  </si>
  <si>
    <t>0805</t>
  </si>
  <si>
    <t>100nF</t>
  </si>
  <si>
    <t>C4, C6, C64, C73, C97, C126</t>
  </si>
  <si>
    <t>0805B104K500NT</t>
  </si>
  <si>
    <t>16V 100uF</t>
  </si>
  <si>
    <t>C5</t>
  </si>
  <si>
    <t>CAP-TAN-D</t>
  </si>
  <si>
    <t>CAP-POLAR</t>
  </si>
  <si>
    <t>JVJ16V100M6x5</t>
  </si>
  <si>
    <t>JIERR</t>
  </si>
  <si>
    <t>SMD,D6.3xL5.4mm</t>
  </si>
  <si>
    <t>47uF 16V</t>
  </si>
  <si>
    <t>C7, C19, C21, C23, C30</t>
  </si>
  <si>
    <t>JVJ16V47M5x5</t>
  </si>
  <si>
    <t>SMD,D5xL5.4mm</t>
  </si>
  <si>
    <t>GRM21BR61C106KE15L</t>
  </si>
  <si>
    <t>Chip Multilayer Ceramic Capacitors for General Purpose, 0805, 10uF, X5R, 15%, 10%, 16V</t>
  </si>
  <si>
    <t>C8, C10</t>
  </si>
  <si>
    <t>FP-GRM21B-0_1-IPC_C</t>
  </si>
  <si>
    <t>CMP-2007-03453-2</t>
  </si>
  <si>
    <t>muRata</t>
  </si>
  <si>
    <t>0.1uF</t>
  </si>
  <si>
    <t>C9, C12, C13, C14, C15, C16, C17, C25, C29, C31, C35, C36, C38, C40, C42, C45, C46, C52, C53, C54, C59, C60, C62, C66, C69, C72, C75, C77, C82, C94, C112, C123, C143</t>
  </si>
  <si>
    <t>2.2nF 2kV</t>
  </si>
  <si>
    <t>C11, C78, C81, C83, C84, C85</t>
  </si>
  <si>
    <t>CAP-V</t>
  </si>
  <si>
    <t>R08E3E222MA5B0S0N0</t>
  </si>
  <si>
    <t>STE</t>
  </si>
  <si>
    <t>CAP-V=7.5mm</t>
  </si>
  <si>
    <t>2.2uF</t>
  </si>
  <si>
    <t>C18, C48</t>
  </si>
  <si>
    <t>CL21A225KBQNNNE</t>
  </si>
  <si>
    <t>SAMSUNG</t>
  </si>
  <si>
    <t>1uF</t>
  </si>
  <si>
    <t>C20, C22, C24, C34, C56, C57, C70, C86, C102, C115, C138</t>
  </si>
  <si>
    <t>CL21B105KAFNNNE</t>
  </si>
  <si>
    <t>47pF</t>
  </si>
  <si>
    <t>C26, C27</t>
  </si>
  <si>
    <t>0805CG470J500NT</t>
  </si>
  <si>
    <t>1000pF</t>
  </si>
  <si>
    <t>C28</t>
  </si>
  <si>
    <t>0805B102K500NT</t>
  </si>
  <si>
    <t>100uF 16V</t>
  </si>
  <si>
    <t>C32, C39, C61, C92, C110, C122, C142</t>
  </si>
  <si>
    <t>CAP_POL_SMD, CAP-POLAR</t>
  </si>
  <si>
    <t>1000uF 10V</t>
  </si>
  <si>
    <t>C33, C49, C63</t>
  </si>
  <si>
    <t>CAP_SMD_Size_G</t>
  </si>
  <si>
    <t>RVE10V1000M8X10</t>
  </si>
  <si>
    <t>SMD,D8xL10.5mm</t>
  </si>
  <si>
    <t>1000uF_6.3V</t>
  </si>
  <si>
    <t/>
  </si>
  <si>
    <t>C37, C43, C44, C50, C51, C67, C68</t>
  </si>
  <si>
    <t>CAP_SMD_Size_E</t>
  </si>
  <si>
    <t>JVJ6.3V1000M8X10</t>
  </si>
  <si>
    <t>220pF</t>
  </si>
  <si>
    <t>C41</t>
  </si>
  <si>
    <t>0805B221K500NT</t>
  </si>
  <si>
    <t>25V_1000uF</t>
  </si>
  <si>
    <t>C47, C55</t>
  </si>
  <si>
    <t>HITANO 3300uF 25V  16x25</t>
  </si>
  <si>
    <t>JVJ25V1000M10X12</t>
  </si>
  <si>
    <t>SMD,D10xL12mm</t>
  </si>
  <si>
    <t>35V 220uF</t>
  </si>
  <si>
    <t>35V 220uF_x000D_
8x10.5</t>
  </si>
  <si>
    <t>C58, C71, C88, C104, C117, C139</t>
  </si>
  <si>
    <t>RVT220UF35V67RV0024</t>
  </si>
  <si>
    <t>KNSCHA</t>
  </si>
  <si>
    <t>SMD,D8xL10.2mm</t>
  </si>
  <si>
    <t>2.2nF</t>
  </si>
  <si>
    <t>C65, C98, C127</t>
  </si>
  <si>
    <t>0805B222K500NT</t>
  </si>
  <si>
    <t>270pF</t>
  </si>
  <si>
    <t>C74</t>
  </si>
  <si>
    <t>0805B271K500NT</t>
  </si>
  <si>
    <t>0.33uF</t>
  </si>
  <si>
    <t>C76</t>
  </si>
  <si>
    <t>CL21B334KBFNNNE</t>
  </si>
  <si>
    <t>10nF 2kV</t>
  </si>
  <si>
    <t>C79, C80</t>
  </si>
  <si>
    <t>R11F1E103MN0B0S0N0</t>
  </si>
  <si>
    <t>151031YS06000</t>
  </si>
  <si>
    <t>WURTH ELEKTRONIK - 151031YS06000 - LED, Yellow, Through Hole, T-1 (3mm), 30 mA, 2 V, 590 nm</t>
  </si>
  <si>
    <t>D1, D6, D7, D9</t>
  </si>
  <si>
    <t>LED_RED</t>
  </si>
  <si>
    <t>LED</t>
  </si>
  <si>
    <t>XL-1608SURC-06</t>
  </si>
  <si>
    <t>XINGLIGHT</t>
  </si>
  <si>
    <t>0603</t>
  </si>
  <si>
    <t>D2, D5</t>
  </si>
  <si>
    <t>LED_GREEN</t>
  </si>
  <si>
    <t>XL-1608UGC-04</t>
  </si>
  <si>
    <t>D3</t>
  </si>
  <si>
    <t>LED_YELLOW</t>
  </si>
  <si>
    <t>XL-1608UYC-06</t>
  </si>
  <si>
    <t>D4, D8</t>
  </si>
  <si>
    <t>LED_BLUE</t>
  </si>
  <si>
    <t>SS36</t>
  </si>
  <si>
    <t>D10</t>
  </si>
  <si>
    <t>SMC/DO214AB</t>
  </si>
  <si>
    <t>SS36_Schottky</t>
  </si>
  <si>
    <t>YANGJIE</t>
  </si>
  <si>
    <t>DO-214AB(SMC)</t>
  </si>
  <si>
    <t>1N4148</t>
  </si>
  <si>
    <t>D11, D13, D15</t>
  </si>
  <si>
    <t>DIOD-SOD123-2_V</t>
  </si>
  <si>
    <t>1N4148W</t>
  </si>
  <si>
    <t>R+O</t>
  </si>
  <si>
    <t>SOD-123</t>
  </si>
  <si>
    <t>US1G</t>
  </si>
  <si>
    <t>D12, D14, D17, D19, D21, D24</t>
  </si>
  <si>
    <t>US1G_SMA</t>
  </si>
  <si>
    <t>MDD</t>
  </si>
  <si>
    <t>SMA</t>
  </si>
  <si>
    <t>ACS724</t>
  </si>
  <si>
    <t>ACS724  10A</t>
  </si>
  <si>
    <t>DD1</t>
  </si>
  <si>
    <t>SO8-150</t>
  </si>
  <si>
    <t>ACS712</t>
  </si>
  <si>
    <t>ACS724LLCTR-05AB-T</t>
  </si>
  <si>
    <t>Slkor</t>
  </si>
  <si>
    <t>SOP-8</t>
  </si>
  <si>
    <t>HEAT SINK</t>
  </si>
  <si>
    <t>DNP</t>
  </si>
  <si>
    <t>H1</t>
  </si>
  <si>
    <t>MG_136_HT</t>
  </si>
  <si>
    <t>J1, J2, J3, J4, J5, J7</t>
  </si>
  <si>
    <t>Conn_MEIGAN_MG136HT</t>
  </si>
  <si>
    <t>Connector_MEIGAN_MG136HT</t>
  </si>
  <si>
    <t>DB136H-10.16-3P-GN-P</t>
  </si>
  <si>
    <t>DORABO</t>
  </si>
  <si>
    <t>1*3P=10.16mm</t>
  </si>
  <si>
    <t>DB9 pcb</t>
  </si>
  <si>
    <t>J6</t>
  </si>
  <si>
    <t>DB9 conn pcb</t>
  </si>
  <si>
    <t>DB9</t>
  </si>
  <si>
    <t>D-DMR009PM-D002</t>
  </si>
  <si>
    <t>Ckmtw</t>
  </si>
  <si>
    <t>D-SUB/9P</t>
  </si>
  <si>
    <t>B6B-XH-TW</t>
  </si>
  <si>
    <t>J10, J13</t>
  </si>
  <si>
    <t>WAFER-XH2.54-6PZZ</t>
  </si>
  <si>
    <t>XUNPU</t>
  </si>
  <si>
    <t>1x6P/2.5mm</t>
  </si>
  <si>
    <t>G(4)</t>
  </si>
  <si>
    <t>J14</t>
  </si>
  <si>
    <t>Klema_PCB_15A</t>
  </si>
  <si>
    <t>Klema_15_A</t>
  </si>
  <si>
    <t>E(5)</t>
  </si>
  <si>
    <t>J16</t>
  </si>
  <si>
    <t>G(6)</t>
  </si>
  <si>
    <t>J19</t>
  </si>
  <si>
    <t>E(7)</t>
  </si>
  <si>
    <t>J21</t>
  </si>
  <si>
    <t>G</t>
  </si>
  <si>
    <t>J24, J29, J34, J38</t>
  </si>
  <si>
    <t>E</t>
  </si>
  <si>
    <t>J26, J31, J36, J40</t>
  </si>
  <si>
    <t>J48, J49, J52, J53</t>
  </si>
  <si>
    <t>Sullins_SWR25X-NRTC-S06-ST-BA_MFG</t>
  </si>
  <si>
    <t>SWR25X-NRTC-S06-ST-BA</t>
  </si>
  <si>
    <t>100uH CD105</t>
  </si>
  <si>
    <t>L1, L2</t>
  </si>
  <si>
    <t>WE-PD2_1054</t>
  </si>
  <si>
    <t>744776122</t>
  </si>
  <si>
    <t>FCD105-220K</t>
  </si>
  <si>
    <t>cjiang</t>
  </si>
  <si>
    <t>SMD,10x9mm</t>
  </si>
  <si>
    <t>744776227</t>
  </si>
  <si>
    <t>L3</t>
  </si>
  <si>
    <t>CMP-0227-00501-2</t>
  </si>
  <si>
    <t>SCD.1054.DYF271KT00</t>
  </si>
  <si>
    <t>SOREDE</t>
  </si>
  <si>
    <t>220uH CD75</t>
  </si>
  <si>
    <t>L4, L6, L7</t>
  </si>
  <si>
    <t>WE-PD2_7850</t>
  </si>
  <si>
    <t>74477530</t>
  </si>
  <si>
    <t>FCD75-102K</t>
  </si>
  <si>
    <t>SMD,7.8x7mm</t>
  </si>
  <si>
    <t>691305540002</t>
  </si>
  <si>
    <t>WR-TBL Series 3055 PCB Header Horizontal Entry with Plastic Latches, THT, pitch 5.08mm, 2p</t>
  </si>
  <si>
    <t>P1, P8, P9, P10</t>
  </si>
  <si>
    <t>MX2EDGRC-5.08-02P-GN01-Cu-A</t>
  </si>
  <si>
    <t>MAX</t>
  </si>
  <si>
    <t>1*2P=5.08mm</t>
  </si>
  <si>
    <t>61900311121</t>
  </si>
  <si>
    <t>WR-WTB THT Male Vertical Locking Header, pitch 2.54mm, 3p</t>
  </si>
  <si>
    <t>P4, P5, P13, P14, P15</t>
  </si>
  <si>
    <t>HC-2510-3A</t>
  </si>
  <si>
    <t>HCTL</t>
  </si>
  <si>
    <t>1x3P=2.54mm</t>
  </si>
  <si>
    <t>691305540003</t>
  </si>
  <si>
    <t>WR-TBL Series 3055 PCB Header Horizontal Entry with Plastic Latches, THT, pitch 5.08mm, 3p</t>
  </si>
  <si>
    <t>P6, P7</t>
  </si>
  <si>
    <t>MX2EDGRC-5.08-03P-GN01-Cu-A</t>
  </si>
  <si>
    <t>1*3P=5.08mm</t>
  </si>
  <si>
    <t>BC847C</t>
  </si>
  <si>
    <t>NPN Silicon AF Transistor, 45 V VCEO, 100 mA IC, SOT23, Reel, Green</t>
  </si>
  <si>
    <t>Q1, Q2, Q3</t>
  </si>
  <si>
    <t>INF-SOT23_N</t>
  </si>
  <si>
    <t>BC847C_Infineon</t>
  </si>
  <si>
    <t>Hottech</t>
  </si>
  <si>
    <t>SOT-23</t>
  </si>
  <si>
    <t>BSS84</t>
  </si>
  <si>
    <t>P-mosfet</t>
  </si>
  <si>
    <t>Q4</t>
  </si>
  <si>
    <t>FP-SOT23-IPC_A</t>
  </si>
  <si>
    <t>CJ</t>
  </si>
  <si>
    <t>10K</t>
  </si>
  <si>
    <t>R1, R2, R3, R4, R5, R6, R13, R14, R15, R16, R17, R18, R19, R20, R21, R24, R25, R26, R27, R28, R31, R33, R34, R35, R37, R38, R40, R41, R42, R43, R44, R45, R48, R49, R51, R53, R56, R57, R58, R59, R61, R69, R73, R81, R88, R95, R108, R113, R118, R120, R121, R122, R123, R124, R125, R128, R135, R143, R147, R152</t>
  </si>
  <si>
    <t>RES-0805</t>
  </si>
  <si>
    <t>RES-CONST</t>
  </si>
  <si>
    <t>RC0805FR-0710KL</t>
  </si>
  <si>
    <t>YAGEO</t>
  </si>
  <si>
    <t>220</t>
  </si>
  <si>
    <t>R7, R8, R9, R10, R11, R12, R39, R46, R47</t>
  </si>
  <si>
    <t>RC0805FR-07220RL</t>
  </si>
  <si>
    <t>20K</t>
  </si>
  <si>
    <t>R22, R23</t>
  </si>
  <si>
    <t>RC0805FR-0720KL</t>
  </si>
  <si>
    <t>30K</t>
  </si>
  <si>
    <t>R29, R30</t>
  </si>
  <si>
    <t>0805W8J0303T5E</t>
  </si>
  <si>
    <t>100</t>
  </si>
  <si>
    <t>R32, R36</t>
  </si>
  <si>
    <t>RT0805BRD07100RL</t>
  </si>
  <si>
    <t>1K</t>
  </si>
  <si>
    <t>R50, R54, R55, R63, R64, R78, R84, R86, R87, R91, R93, R98, R99, R102, R103, R109, R110, R111, R116, R117, R126, R127, R140</t>
  </si>
  <si>
    <t>RC0805JR-071KL</t>
  </si>
  <si>
    <t>47K</t>
  </si>
  <si>
    <t>R52</t>
  </si>
  <si>
    <t>RC0805JR-0747KL</t>
  </si>
  <si>
    <t>10</t>
  </si>
  <si>
    <t>R60, R77, R92, R115, R131, R149</t>
  </si>
  <si>
    <t>RES-2512</t>
  </si>
  <si>
    <t>25121WF100JT4E</t>
  </si>
  <si>
    <t>UNI-ROYAL</t>
  </si>
  <si>
    <t>R62, R82, R96, R119, R136, R153</t>
  </si>
  <si>
    <t>25121WJ0102T4E</t>
  </si>
  <si>
    <t>36K</t>
  </si>
  <si>
    <t>R65</t>
  </si>
  <si>
    <t>0805W8F3602T5E</t>
  </si>
  <si>
    <t>100K</t>
  </si>
  <si>
    <t>R66, R72, R107, R146</t>
  </si>
  <si>
    <t>0805W8F1003T5E</t>
  </si>
  <si>
    <t>11K</t>
  </si>
  <si>
    <t>R67</t>
  </si>
  <si>
    <t>RC0805FR-0711KL</t>
  </si>
  <si>
    <t>2K</t>
  </si>
  <si>
    <t>R68</t>
  </si>
  <si>
    <t>RC0805FR-072KL</t>
  </si>
  <si>
    <t>100K 1%, 100K  1%</t>
  </si>
  <si>
    <t>R70, R71, R74</t>
  </si>
  <si>
    <t>RC0805FR-07100KL</t>
  </si>
  <si>
    <t>1K 1%</t>
  </si>
  <si>
    <t>1K 1%  (DNP)</t>
  </si>
  <si>
    <t>R75</t>
  </si>
  <si>
    <t>3K</t>
  </si>
  <si>
    <t>R76, R104, R132</t>
  </si>
  <si>
    <t>RC0805FR-073KL</t>
  </si>
  <si>
    <t>1M</t>
  </si>
  <si>
    <t>R79</t>
  </si>
  <si>
    <t>RC0805JR-071ML</t>
  </si>
  <si>
    <t xml:space="preserve"> 1K 1%</t>
  </si>
  <si>
    <t>R80</t>
  </si>
  <si>
    <t>RES_SMD_1210_IPC_B</t>
  </si>
  <si>
    <t>RES_1210</t>
  </si>
  <si>
    <t>1210W2F1001T5E</t>
  </si>
  <si>
    <t>4.99R</t>
  </si>
  <si>
    <t>5</t>
  </si>
  <si>
    <t>R83, R85, R89, R90, R94, R97, R100, R101, R105, R106, R112, R114</t>
  </si>
  <si>
    <t>RC0805FR-074R99L</t>
  </si>
  <si>
    <t>T1</t>
  </si>
  <si>
    <t>SOT23-3_IPC_A</t>
  </si>
  <si>
    <t>Test_Point</t>
  </si>
  <si>
    <t>TP1, TP2, TP3, TP6, TP7, TP8, TP16, TP24, TP28, TP29, TP61</t>
  </si>
  <si>
    <t>TP_PCB?</t>
  </si>
  <si>
    <t>Test_Point_PCB</t>
  </si>
  <si>
    <t>TP4, TP5, TP9, TP10, TP11, TP12, TP13, TP14, TP15, TP17, TP18, TP19, TP20, TP21, TP22, TP23, TP25, TP26, TP27, TP31, TP34, TP36, TP40, TP41, TP42, TP43, TP44, TP46, TP47, TP48, TP49, TP50, TP52, TP53, TP54, TP56, TP57, TP58, TP59, TP62, TP64, TP65, TP66, TP67, TP69</t>
  </si>
  <si>
    <t>TP30</t>
  </si>
  <si>
    <t>Pin_Test_Point(Pink)</t>
  </si>
  <si>
    <t>DC-DC</t>
  </si>
  <si>
    <t>Mounted by the customer</t>
  </si>
  <si>
    <t>U1, U6, U10</t>
  </si>
  <si>
    <t>DC-DC_Bridge</t>
  </si>
  <si>
    <t>DC-DC/12-18VDC</t>
  </si>
  <si>
    <t>B0505S-1W</t>
  </si>
  <si>
    <t>U2, U12</t>
  </si>
  <si>
    <t>B0505S-1WR3</t>
  </si>
  <si>
    <t>EVISUN</t>
  </si>
  <si>
    <t>SIP,11.7x6mm</t>
  </si>
  <si>
    <t>MAX485</t>
  </si>
  <si>
    <t>U3</t>
  </si>
  <si>
    <t>SOIC-8-MFG</t>
  </si>
  <si>
    <t>MAX485ESA(UMW)</t>
  </si>
  <si>
    <t>UMW</t>
  </si>
  <si>
    <t>ADUM1401BRWZ</t>
  </si>
  <si>
    <t>Quad Channel Digital Isolator, 2.5 KV rms Insulation Rating, 10 Mbps Data Rate, 50 ns Delay, Industrial, 16-pin SOIC (RW-16), Tube</t>
  </si>
  <si>
    <t>U4</t>
  </si>
  <si>
    <t>ADI-RW-16_M</t>
  </si>
  <si>
    <t>CMP-0534-00565-1</t>
  </si>
  <si>
    <t>ADUM1401BRWZ-RL</t>
  </si>
  <si>
    <t>ADI</t>
  </si>
  <si>
    <t>SOIC-16-300mil</t>
  </si>
  <si>
    <t xml:space="preserve">AD8605ARZ </t>
  </si>
  <si>
    <t>AD8605ARZ</t>
  </si>
  <si>
    <t>U5</t>
  </si>
  <si>
    <t>SOT-23-5</t>
  </si>
  <si>
    <t>MCP6001T</t>
  </si>
  <si>
    <t>MCP6001T-I/OT</t>
  </si>
  <si>
    <t>MICROCHIP</t>
  </si>
  <si>
    <t>AMC1311</t>
  </si>
  <si>
    <t>U7</t>
  </si>
  <si>
    <t>FP-DWV0008A-MFG</t>
  </si>
  <si>
    <t>AMC1311DWVR</t>
  </si>
  <si>
    <t>TI</t>
  </si>
  <si>
    <t>SOP-8-300mil</t>
  </si>
  <si>
    <t>STM32F722RET6</t>
  </si>
  <si>
    <t>U8</t>
  </si>
  <si>
    <t>LQFP64-5W-IPC_A</t>
  </si>
  <si>
    <t>ST</t>
  </si>
  <si>
    <t>LQFP-64(10x10)</t>
  </si>
  <si>
    <t>AMS1117-3v3</t>
  </si>
  <si>
    <t>U9, U11</t>
  </si>
  <si>
    <t>SOT-223-3</t>
  </si>
  <si>
    <t>AMS1117</t>
  </si>
  <si>
    <t>AMS1117-3.3V</t>
  </si>
  <si>
    <t>MSKSEMI</t>
  </si>
  <si>
    <t>SOT-223</t>
  </si>
  <si>
    <t>UCC21520DW</t>
  </si>
  <si>
    <t>U13, U21, U32</t>
  </si>
  <si>
    <t>FP-DW0016B-MFG</t>
  </si>
  <si>
    <t>UCC21520DWR</t>
  </si>
  <si>
    <t>U14</t>
  </si>
  <si>
    <t>W25Q128</t>
  </si>
  <si>
    <t>U15</t>
  </si>
  <si>
    <t>WINB-SOIC-8_M</t>
  </si>
  <si>
    <t>Winbond</t>
  </si>
  <si>
    <t>SOIC-8-208mil</t>
  </si>
  <si>
    <t>SN74HC541DWR</t>
  </si>
  <si>
    <t>U16</t>
  </si>
  <si>
    <t>DW0020A_L</t>
  </si>
  <si>
    <t>SOIC-20-300mil</t>
  </si>
  <si>
    <t>AMS1117-5V1</t>
  </si>
  <si>
    <t>U17, U19</t>
  </si>
  <si>
    <t>MS1117-5V</t>
  </si>
  <si>
    <t>LM2576HVS-ADJ</t>
  </si>
  <si>
    <t>U18</t>
  </si>
  <si>
    <t>ON_Semiconductor_936A-02_MFG</t>
  </si>
  <si>
    <t>LM2576D2T-005G</t>
  </si>
  <si>
    <t>onsemi</t>
  </si>
  <si>
    <t>D2PAK-5</t>
  </si>
  <si>
    <t>PC817XN</t>
  </si>
  <si>
    <t>U20</t>
  </si>
  <si>
    <t>FP-PC817XNNIP0F-MFG</t>
  </si>
  <si>
    <t>PC817XNNIP0F</t>
  </si>
  <si>
    <t>SHARP</t>
  </si>
  <si>
    <t>SOP4</t>
  </si>
  <si>
    <t>SMBJ18CA</t>
  </si>
  <si>
    <t>VD2, VD6, VD11, VD15, VD21, VD25</t>
  </si>
  <si>
    <t>DO-214AA</t>
  </si>
  <si>
    <t>Suppressor</t>
  </si>
  <si>
    <t>DO-214AA(SMB)</t>
  </si>
  <si>
    <t>5.1V</t>
  </si>
  <si>
    <t>1N4733A 5.1V</t>
  </si>
  <si>
    <t>VD4, VD8, VD13, VD17, VD23, VD27</t>
  </si>
  <si>
    <t>DO-35</t>
  </si>
  <si>
    <t>ZENER</t>
  </si>
  <si>
    <t>1N4733A</t>
  </si>
  <si>
    <t>LGE</t>
  </si>
  <si>
    <t>DO-41</t>
  </si>
  <si>
    <t>IGBT 75N120T</t>
  </si>
  <si>
    <t>IGBT 75N120T TO-247-3
DNP, IGBT 75N120T TO-264-3</t>
  </si>
  <si>
    <t>VT1, VT2, VT3, VT4, VT5, VT6, VT7, VT8, VT9, VT10, VT11, VT12</t>
  </si>
  <si>
    <t>TO-264-3</t>
  </si>
  <si>
    <t>IGBT 60N120T</t>
  </si>
  <si>
    <t>IKQ75N120CS6</t>
  </si>
  <si>
    <t xml:space="preserve">
Infineon</t>
  </si>
  <si>
    <t xml:space="preserve">
TO-247-3</t>
  </si>
  <si>
    <t>Y1</t>
  </si>
  <si>
    <t>FOX-FOXSLF-2_V</t>
  </si>
  <si>
    <t>CMP-1749-00004-1</t>
  </si>
  <si>
    <t>TAXD12M2GLFBET2T</t>
  </si>
  <si>
    <t>YJX</t>
  </si>
  <si>
    <t>HC-49S</t>
  </si>
  <si>
    <t>P6SMB16CA</t>
  </si>
  <si>
    <t>ZD1, ZD2</t>
  </si>
  <si>
    <t>PCB</t>
  </si>
  <si>
    <t>SMT Stencil</t>
  </si>
  <si>
    <t>SMT Soldering Cost</t>
  </si>
  <si>
    <t>Freight cost</t>
  </si>
  <si>
    <t>638$</t>
  </si>
  <si>
    <t>FOXSLF/120-20(16MHZ)</t>
  </si>
  <si>
    <t>FR-4 board, double-sided, 2mm thickness, green solder mask with white text, 1oz copper thickness, covered vias, lead-free spray tin</t>
  </si>
  <si>
    <r>
      <t xml:space="preserve">Resistance Weld Thru-Hole </t>
    </r>
    <r>
      <rPr>
        <sz val="11"/>
        <color rgb="FFFF0000"/>
        <rFont val="Aptos Narrow"/>
        <family val="2"/>
        <scheme val="minor"/>
      </rPr>
      <t>Crystal, 16 MHz</t>
    </r>
    <r>
      <rPr>
        <sz val="11"/>
        <color theme="1"/>
        <rFont val="Aptos Narrow"/>
        <charset val="204"/>
        <scheme val="minor"/>
      </rPr>
      <t>, +/-30 ppm, -20 to 70 degC, 2-Pin THD, RoHS, Bulk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</si>
</sst>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;[Red]0.000"/>
  </numFmts>
  <fonts count="4" x14ac:knownFonts="1">
    <font>
      <sz val="11"/>
      <color theme="1"/>
      <name val="Aptos Narrow"/>
      <charset val="204"/>
      <scheme val="minor"/>
    </font>
    <font>
      <sz val="9"/>
      <color rgb="FF333333"/>
      <name val="Arial"/>
      <charset val="204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2" borderId="1" xfId="0" applyFill="1" applyBorder="1"/>
    <xf numFmtId="0" fontId="0" fillId="2" borderId="0" xfId="0" applyFill="1" applyAlignment="1">
      <alignment horizontal="left"/>
    </xf>
    <xf numFmtId="0" fontId="0" fillId="0" borderId="1" xfId="0" applyBorder="1"/>
    <xf numFmtId="168" fontId="0" fillId="0" borderId="0" xfId="0" applyNumberFormat="1"/>
    <xf numFmtId="0" fontId="0" fillId="0" borderId="0" xfId="0" applyAlignment="1">
      <alignment wrapText="1"/>
    </xf>
    <xf numFmtId="0" fontId="0" fillId="3" borderId="1" xfId="0" applyFill="1" applyBorder="1"/>
    <xf numFmtId="0" fontId="0" fillId="3" borderId="0" xfId="0" applyFill="1" applyAlignment="1">
      <alignment horizontal="left"/>
    </xf>
    <xf numFmtId="168" fontId="0" fillId="3" borderId="0" xfId="0" applyNumberFormat="1" applyFill="1"/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left" wrapText="1"/>
    </xf>
    <xf numFmtId="0" fontId="0" fillId="0" borderId="1" xfId="0" quotePrefix="1" applyBorder="1"/>
    <xf numFmtId="0" fontId="0" fillId="0" borderId="0" xfId="0" quotePrefix="1" applyAlignment="1">
      <alignment horizontal="left"/>
    </xf>
    <xf numFmtId="0" fontId="0" fillId="0" borderId="1" xfId="0" quotePrefix="1" applyBorder="1" applyAlignment="1">
      <alignment wrapText="1"/>
    </xf>
    <xf numFmtId="0" fontId="0" fillId="3" borderId="1" xfId="0" quotePrefix="1" applyFill="1" applyBorder="1"/>
    <xf numFmtId="0" fontId="0" fillId="3" borderId="0" xfId="0" quotePrefix="1" applyFill="1" applyAlignment="1">
      <alignment horizontal="left"/>
    </xf>
    <xf numFmtId="0" fontId="0" fillId="3" borderId="1" xfId="0" quotePrefix="1" applyFill="1" applyBorder="1" applyAlignment="1">
      <alignment wrapText="1"/>
    </xf>
    <xf numFmtId="0" fontId="0" fillId="4" borderId="1" xfId="0" quotePrefix="1" applyFill="1" applyBorder="1"/>
    <xf numFmtId="0" fontId="3" fillId="0" borderId="1" xfId="0" quotePrefix="1" applyFont="1" applyBorder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tabSelected="1" topLeftCell="A88" workbookViewId="0">
      <selection activeCell="B96" sqref="B96"/>
    </sheetView>
  </sheetViews>
  <sheetFormatPr defaultColWidth="9" defaultRowHeight="14.25" x14ac:dyDescent="0.45"/>
  <cols>
    <col min="1" max="1" width="18.53125" customWidth="1"/>
    <col min="2" max="2" width="46.06640625" customWidth="1"/>
    <col min="3" max="3" width="42.19921875" customWidth="1"/>
    <col min="4" max="4" width="27.53125" customWidth="1"/>
    <col min="5" max="5" width="26.265625" customWidth="1"/>
    <col min="6" max="6" width="18.53125" customWidth="1"/>
    <col min="7" max="7" width="22" customWidth="1"/>
    <col min="8" max="8" width="14.1328125" customWidth="1"/>
    <col min="9" max="9" width="14.9296875" style="3" customWidth="1"/>
    <col min="11" max="11" width="13.796875" customWidth="1"/>
    <col min="13" max="13" width="8.9296875" customWidth="1"/>
  </cols>
  <sheetData>
    <row r="1" spans="1:13" s="1" customForma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s="16" t="s">
        <v>13</v>
      </c>
      <c r="B2" s="16" t="s">
        <v>13</v>
      </c>
      <c r="C2" s="16" t="s">
        <v>14</v>
      </c>
      <c r="D2" s="16" t="s">
        <v>15</v>
      </c>
      <c r="E2" s="16" t="s">
        <v>16</v>
      </c>
      <c r="F2" s="6">
        <v>6</v>
      </c>
      <c r="G2" t="s">
        <v>17</v>
      </c>
      <c r="H2" t="s">
        <v>18</v>
      </c>
      <c r="I2" s="17" t="s">
        <v>19</v>
      </c>
      <c r="J2">
        <f>F2*5</f>
        <v>30</v>
      </c>
      <c r="K2">
        <v>100</v>
      </c>
      <c r="L2" s="7">
        <v>4.4285714285714302E-3</v>
      </c>
      <c r="M2" s="7">
        <f>K2*L2</f>
        <v>0.442857142857143</v>
      </c>
    </row>
    <row r="3" spans="1:13" x14ac:dyDescent="0.45">
      <c r="A3" s="16" t="s">
        <v>20</v>
      </c>
      <c r="B3" s="16" t="s">
        <v>20</v>
      </c>
      <c r="C3" s="16" t="s">
        <v>21</v>
      </c>
      <c r="D3" s="16" t="s">
        <v>15</v>
      </c>
      <c r="E3" s="16" t="s">
        <v>16</v>
      </c>
      <c r="F3" s="6">
        <v>6</v>
      </c>
      <c r="G3" t="s">
        <v>22</v>
      </c>
      <c r="H3" t="s">
        <v>18</v>
      </c>
      <c r="I3" s="17" t="s">
        <v>19</v>
      </c>
      <c r="J3">
        <f t="shared" ref="J3:J34" si="0">F3*5</f>
        <v>30</v>
      </c>
      <c r="K3">
        <v>100</v>
      </c>
      <c r="L3" s="7">
        <v>4.2857142857142903E-3</v>
      </c>
      <c r="M3" s="7">
        <f t="shared" ref="M3:M34" si="1">K3*L3</f>
        <v>0.42857142857142899</v>
      </c>
    </row>
    <row r="4" spans="1:13" x14ac:dyDescent="0.45">
      <c r="A4" s="16" t="s">
        <v>23</v>
      </c>
      <c r="B4" s="16" t="s">
        <v>23</v>
      </c>
      <c r="C4" s="16" t="s">
        <v>24</v>
      </c>
      <c r="D4" s="16" t="s">
        <v>25</v>
      </c>
      <c r="E4" s="16" t="s">
        <v>26</v>
      </c>
      <c r="F4" s="6">
        <v>1</v>
      </c>
      <c r="G4" t="s">
        <v>27</v>
      </c>
      <c r="H4" t="s">
        <v>28</v>
      </c>
      <c r="I4" s="3" t="s">
        <v>29</v>
      </c>
      <c r="J4">
        <f t="shared" si="0"/>
        <v>5</v>
      </c>
      <c r="K4">
        <v>10</v>
      </c>
      <c r="L4" s="7">
        <v>4.2857142857142899E-2</v>
      </c>
      <c r="M4" s="7">
        <f t="shared" si="1"/>
        <v>0.42857142857142899</v>
      </c>
    </row>
    <row r="5" spans="1:13" x14ac:dyDescent="0.45">
      <c r="A5" s="16" t="s">
        <v>30</v>
      </c>
      <c r="B5" s="16" t="s">
        <v>30</v>
      </c>
      <c r="C5" s="16" t="s">
        <v>31</v>
      </c>
      <c r="D5" s="16" t="s">
        <v>25</v>
      </c>
      <c r="E5" s="16" t="s">
        <v>26</v>
      </c>
      <c r="F5" s="6">
        <v>5</v>
      </c>
      <c r="G5" t="s">
        <v>32</v>
      </c>
      <c r="H5" t="s">
        <v>28</v>
      </c>
      <c r="I5" s="3" t="s">
        <v>33</v>
      </c>
      <c r="J5">
        <f t="shared" si="0"/>
        <v>25</v>
      </c>
      <c r="K5">
        <v>30</v>
      </c>
      <c r="L5" s="7">
        <v>3.5714285714285698E-2</v>
      </c>
      <c r="M5" s="7">
        <f t="shared" si="1"/>
        <v>1.0714285714285701</v>
      </c>
    </row>
    <row r="6" spans="1:13" x14ac:dyDescent="0.45">
      <c r="A6" s="16" t="s">
        <v>34</v>
      </c>
      <c r="B6" s="16" t="s">
        <v>35</v>
      </c>
      <c r="C6" s="16" t="s">
        <v>36</v>
      </c>
      <c r="D6" s="16" t="s">
        <v>37</v>
      </c>
      <c r="E6" s="16" t="s">
        <v>38</v>
      </c>
      <c r="F6" s="6">
        <v>2</v>
      </c>
      <c r="G6" t="s">
        <v>34</v>
      </c>
      <c r="H6" t="s">
        <v>39</v>
      </c>
      <c r="I6" s="17" t="s">
        <v>19</v>
      </c>
      <c r="J6">
        <f t="shared" si="0"/>
        <v>10</v>
      </c>
      <c r="K6">
        <v>20</v>
      </c>
      <c r="L6" s="7">
        <v>2.1428571428571401E-2</v>
      </c>
      <c r="M6" s="7">
        <f t="shared" si="1"/>
        <v>0.42857142857142899</v>
      </c>
    </row>
    <row r="7" spans="1:13" x14ac:dyDescent="0.45">
      <c r="A7" s="16" t="s">
        <v>40</v>
      </c>
      <c r="B7" s="16" t="s">
        <v>40</v>
      </c>
      <c r="C7" s="16" t="s">
        <v>41</v>
      </c>
      <c r="D7" s="16" t="s">
        <v>15</v>
      </c>
      <c r="E7" s="16" t="s">
        <v>16</v>
      </c>
      <c r="F7" s="6">
        <v>33</v>
      </c>
      <c r="G7" t="s">
        <v>22</v>
      </c>
      <c r="H7" t="s">
        <v>18</v>
      </c>
      <c r="I7" s="17" t="s">
        <v>19</v>
      </c>
      <c r="J7">
        <f t="shared" si="0"/>
        <v>165</v>
      </c>
      <c r="K7">
        <v>200</v>
      </c>
      <c r="L7" s="7">
        <v>4.2857142857142903E-3</v>
      </c>
      <c r="M7" s="7">
        <f t="shared" si="1"/>
        <v>0.85714285714285698</v>
      </c>
    </row>
    <row r="8" spans="1:13" x14ac:dyDescent="0.45">
      <c r="A8" s="16" t="s">
        <v>42</v>
      </c>
      <c r="B8" s="16" t="s">
        <v>42</v>
      </c>
      <c r="C8" s="16" t="s">
        <v>43</v>
      </c>
      <c r="D8" s="16" t="s">
        <v>44</v>
      </c>
      <c r="E8" s="16" t="s">
        <v>44</v>
      </c>
      <c r="F8" s="6">
        <v>6</v>
      </c>
      <c r="G8" t="s">
        <v>45</v>
      </c>
      <c r="H8" t="s">
        <v>46</v>
      </c>
      <c r="I8" s="3" t="s">
        <v>47</v>
      </c>
      <c r="J8">
        <f t="shared" si="0"/>
        <v>30</v>
      </c>
      <c r="K8">
        <v>40</v>
      </c>
      <c r="L8" s="7">
        <v>3.5714285714285698E-2</v>
      </c>
      <c r="M8" s="7">
        <f t="shared" si="1"/>
        <v>1.4285714285714299</v>
      </c>
    </row>
    <row r="9" spans="1:13" x14ac:dyDescent="0.45">
      <c r="A9" s="16" t="s">
        <v>48</v>
      </c>
      <c r="B9" s="16" t="s">
        <v>48</v>
      </c>
      <c r="C9" s="16" t="s">
        <v>49</v>
      </c>
      <c r="D9" s="16" t="s">
        <v>15</v>
      </c>
      <c r="E9" s="16" t="s">
        <v>16</v>
      </c>
      <c r="F9" s="6">
        <v>2</v>
      </c>
      <c r="G9" t="s">
        <v>50</v>
      </c>
      <c r="H9" t="s">
        <v>51</v>
      </c>
      <c r="I9" s="17" t="s">
        <v>19</v>
      </c>
      <c r="J9">
        <f t="shared" si="0"/>
        <v>10</v>
      </c>
      <c r="K9">
        <v>50</v>
      </c>
      <c r="L9" s="7">
        <v>1.7142857142857099E-2</v>
      </c>
      <c r="M9" s="7">
        <f t="shared" si="1"/>
        <v>0.85714285714285698</v>
      </c>
    </row>
    <row r="10" spans="1:13" x14ac:dyDescent="0.45">
      <c r="A10" s="16" t="s">
        <v>52</v>
      </c>
      <c r="B10" s="16" t="s">
        <v>52</v>
      </c>
      <c r="C10" s="16" t="s">
        <v>53</v>
      </c>
      <c r="D10" s="16" t="s">
        <v>15</v>
      </c>
      <c r="E10" s="16" t="s">
        <v>16</v>
      </c>
      <c r="F10" s="6">
        <v>11</v>
      </c>
      <c r="G10" t="s">
        <v>54</v>
      </c>
      <c r="H10" t="s">
        <v>51</v>
      </c>
      <c r="I10" s="17" t="s">
        <v>19</v>
      </c>
      <c r="J10">
        <f t="shared" si="0"/>
        <v>55</v>
      </c>
      <c r="K10">
        <v>100</v>
      </c>
      <c r="L10" s="7">
        <v>1.1428571428571401E-2</v>
      </c>
      <c r="M10" s="7">
        <f t="shared" si="1"/>
        <v>1.1428571428571399</v>
      </c>
    </row>
    <row r="11" spans="1:13" x14ac:dyDescent="0.45">
      <c r="A11" s="16" t="s">
        <v>55</v>
      </c>
      <c r="B11" s="16" t="s">
        <v>55</v>
      </c>
      <c r="C11" s="16" t="s">
        <v>56</v>
      </c>
      <c r="D11" s="16" t="s">
        <v>15</v>
      </c>
      <c r="E11" s="16" t="s">
        <v>16</v>
      </c>
      <c r="F11" s="6">
        <v>2</v>
      </c>
      <c r="G11" t="s">
        <v>57</v>
      </c>
      <c r="H11" t="s">
        <v>18</v>
      </c>
      <c r="I11" s="17" t="s">
        <v>19</v>
      </c>
      <c r="J11">
        <f t="shared" si="0"/>
        <v>10</v>
      </c>
      <c r="K11">
        <v>100</v>
      </c>
      <c r="L11" s="7">
        <v>5.7142857142857099E-3</v>
      </c>
      <c r="M11" s="7">
        <f t="shared" si="1"/>
        <v>0.57142857142857095</v>
      </c>
    </row>
    <row r="12" spans="1:13" x14ac:dyDescent="0.45">
      <c r="A12" s="16" t="s">
        <v>58</v>
      </c>
      <c r="B12" s="16" t="s">
        <v>58</v>
      </c>
      <c r="C12" s="16" t="s">
        <v>59</v>
      </c>
      <c r="D12" s="16" t="s">
        <v>15</v>
      </c>
      <c r="E12" s="16" t="s">
        <v>16</v>
      </c>
      <c r="F12" s="6">
        <v>1</v>
      </c>
      <c r="G12" t="s">
        <v>60</v>
      </c>
      <c r="H12" t="s">
        <v>18</v>
      </c>
      <c r="I12" s="17" t="s">
        <v>19</v>
      </c>
      <c r="J12">
        <f t="shared" si="0"/>
        <v>5</v>
      </c>
      <c r="K12">
        <v>50</v>
      </c>
      <c r="L12" s="7">
        <v>4.2857142857142903E-3</v>
      </c>
      <c r="M12" s="7">
        <f t="shared" si="1"/>
        <v>0.214285714285714</v>
      </c>
    </row>
    <row r="13" spans="1:13" x14ac:dyDescent="0.45">
      <c r="A13" s="16" t="s">
        <v>61</v>
      </c>
      <c r="B13" s="16" t="s">
        <v>61</v>
      </c>
      <c r="C13" s="16" t="s">
        <v>62</v>
      </c>
      <c r="D13" s="16" t="s">
        <v>25</v>
      </c>
      <c r="E13" s="16" t="s">
        <v>63</v>
      </c>
      <c r="F13" s="6">
        <v>7</v>
      </c>
      <c r="G13" t="s">
        <v>27</v>
      </c>
      <c r="H13" t="s">
        <v>28</v>
      </c>
      <c r="I13" s="3" t="s">
        <v>29</v>
      </c>
      <c r="J13">
        <f t="shared" si="0"/>
        <v>35</v>
      </c>
      <c r="K13">
        <v>50</v>
      </c>
      <c r="L13" s="7">
        <v>3.8571428571428597E-2</v>
      </c>
      <c r="M13" s="7">
        <f t="shared" si="1"/>
        <v>1.9285714285714299</v>
      </c>
    </row>
    <row r="14" spans="1:13" x14ac:dyDescent="0.45">
      <c r="A14" s="16" t="s">
        <v>64</v>
      </c>
      <c r="B14" s="16" t="s">
        <v>64</v>
      </c>
      <c r="C14" s="16" t="s">
        <v>65</v>
      </c>
      <c r="D14" s="16" t="s">
        <v>66</v>
      </c>
      <c r="E14" s="16" t="s">
        <v>26</v>
      </c>
      <c r="F14" s="6">
        <v>3</v>
      </c>
      <c r="G14" t="s">
        <v>67</v>
      </c>
      <c r="H14" t="s">
        <v>28</v>
      </c>
      <c r="I14" s="3" t="s">
        <v>68</v>
      </c>
      <c r="J14">
        <f t="shared" si="0"/>
        <v>15</v>
      </c>
      <c r="K14">
        <v>30</v>
      </c>
      <c r="L14" s="7">
        <v>7.1428571428571397E-2</v>
      </c>
      <c r="M14" s="7">
        <f t="shared" si="1"/>
        <v>2.1428571428571401</v>
      </c>
    </row>
    <row r="15" spans="1:13" x14ac:dyDescent="0.45">
      <c r="A15" s="16" t="s">
        <v>69</v>
      </c>
      <c r="B15" s="16" t="s">
        <v>70</v>
      </c>
      <c r="C15" s="16" t="s">
        <v>71</v>
      </c>
      <c r="D15" s="16" t="s">
        <v>72</v>
      </c>
      <c r="E15" s="16" t="s">
        <v>26</v>
      </c>
      <c r="F15" s="6">
        <v>7</v>
      </c>
      <c r="G15" t="s">
        <v>73</v>
      </c>
      <c r="H15" t="s">
        <v>28</v>
      </c>
      <c r="I15" s="3" t="s">
        <v>68</v>
      </c>
      <c r="J15">
        <f t="shared" si="0"/>
        <v>35</v>
      </c>
      <c r="K15">
        <v>50</v>
      </c>
      <c r="L15" s="7">
        <v>7.1428571428571397E-2</v>
      </c>
      <c r="M15" s="7">
        <f t="shared" si="1"/>
        <v>3.5714285714285698</v>
      </c>
    </row>
    <row r="16" spans="1:13" x14ac:dyDescent="0.45">
      <c r="A16" s="16" t="s">
        <v>74</v>
      </c>
      <c r="B16" s="16" t="s">
        <v>74</v>
      </c>
      <c r="C16" s="16" t="s">
        <v>75</v>
      </c>
      <c r="D16" s="16" t="s">
        <v>15</v>
      </c>
      <c r="E16" s="16" t="s">
        <v>16</v>
      </c>
      <c r="F16" s="6">
        <v>1</v>
      </c>
      <c r="G16" t="s">
        <v>76</v>
      </c>
      <c r="H16" t="s">
        <v>18</v>
      </c>
      <c r="I16" s="17" t="s">
        <v>19</v>
      </c>
      <c r="J16">
        <f t="shared" si="0"/>
        <v>5</v>
      </c>
      <c r="K16">
        <v>50</v>
      </c>
      <c r="L16" s="7">
        <v>5.7142857142857099E-3</v>
      </c>
      <c r="M16" s="7">
        <f t="shared" si="1"/>
        <v>0.28571428571428598</v>
      </c>
    </row>
    <row r="17" spans="1:13" x14ac:dyDescent="0.45">
      <c r="A17" s="16" t="s">
        <v>77</v>
      </c>
      <c r="B17" s="16" t="s">
        <v>77</v>
      </c>
      <c r="C17" s="16" t="s">
        <v>78</v>
      </c>
      <c r="D17" s="16" t="s">
        <v>79</v>
      </c>
      <c r="E17" s="16" t="s">
        <v>26</v>
      </c>
      <c r="F17" s="6">
        <v>2</v>
      </c>
      <c r="G17" t="s">
        <v>80</v>
      </c>
      <c r="H17" t="s">
        <v>28</v>
      </c>
      <c r="I17" s="3" t="s">
        <v>81</v>
      </c>
      <c r="J17">
        <f t="shared" si="0"/>
        <v>10</v>
      </c>
      <c r="K17">
        <v>20</v>
      </c>
      <c r="L17" s="7">
        <v>0.2</v>
      </c>
      <c r="M17" s="7">
        <f t="shared" si="1"/>
        <v>4</v>
      </c>
    </row>
    <row r="18" spans="1:13" ht="28.5" x14ac:dyDescent="0.45">
      <c r="A18" s="16" t="s">
        <v>82</v>
      </c>
      <c r="B18" s="18" t="s">
        <v>83</v>
      </c>
      <c r="C18" s="16" t="s">
        <v>84</v>
      </c>
      <c r="D18" s="16" t="s">
        <v>72</v>
      </c>
      <c r="E18" s="16" t="s">
        <v>26</v>
      </c>
      <c r="F18" s="6">
        <v>6</v>
      </c>
      <c r="G18" t="s">
        <v>85</v>
      </c>
      <c r="H18" t="s">
        <v>86</v>
      </c>
      <c r="I18" s="3" t="s">
        <v>87</v>
      </c>
      <c r="J18">
        <f t="shared" si="0"/>
        <v>30</v>
      </c>
      <c r="K18">
        <v>50</v>
      </c>
      <c r="L18" s="7">
        <v>5.7142857142857099E-2</v>
      </c>
      <c r="M18" s="7">
        <f t="shared" si="1"/>
        <v>2.8571428571428599</v>
      </c>
    </row>
    <row r="19" spans="1:13" x14ac:dyDescent="0.45">
      <c r="A19" s="16" t="s">
        <v>88</v>
      </c>
      <c r="B19" s="16" t="s">
        <v>88</v>
      </c>
      <c r="C19" s="16" t="s">
        <v>89</v>
      </c>
      <c r="D19" s="16" t="s">
        <v>15</v>
      </c>
      <c r="E19" s="16" t="s">
        <v>16</v>
      </c>
      <c r="F19" s="6">
        <v>3</v>
      </c>
      <c r="G19" t="s">
        <v>90</v>
      </c>
      <c r="H19" t="s">
        <v>18</v>
      </c>
      <c r="I19" s="17" t="s">
        <v>19</v>
      </c>
      <c r="J19">
        <f t="shared" si="0"/>
        <v>15</v>
      </c>
      <c r="K19">
        <v>50</v>
      </c>
      <c r="L19" s="7">
        <v>5.0000000000000001E-3</v>
      </c>
      <c r="M19" s="7">
        <f t="shared" si="1"/>
        <v>0.25</v>
      </c>
    </row>
    <row r="20" spans="1:13" x14ac:dyDescent="0.45">
      <c r="A20" s="16" t="s">
        <v>91</v>
      </c>
      <c r="B20" s="16" t="s">
        <v>91</v>
      </c>
      <c r="C20" s="16" t="s">
        <v>92</v>
      </c>
      <c r="D20" s="16" t="s">
        <v>15</v>
      </c>
      <c r="E20" s="16" t="s">
        <v>16</v>
      </c>
      <c r="F20" s="6">
        <v>1</v>
      </c>
      <c r="G20" t="s">
        <v>93</v>
      </c>
      <c r="H20" t="s">
        <v>18</v>
      </c>
      <c r="I20" s="17" t="s">
        <v>19</v>
      </c>
      <c r="J20">
        <f t="shared" si="0"/>
        <v>5</v>
      </c>
      <c r="K20">
        <v>50</v>
      </c>
      <c r="L20" s="7">
        <v>5.7142857142857099E-3</v>
      </c>
      <c r="M20" s="7">
        <f t="shared" si="1"/>
        <v>0.28571428571428598</v>
      </c>
    </row>
    <row r="21" spans="1:13" x14ac:dyDescent="0.45">
      <c r="A21" s="16" t="s">
        <v>94</v>
      </c>
      <c r="B21" s="16" t="s">
        <v>94</v>
      </c>
      <c r="C21" s="16" t="s">
        <v>95</v>
      </c>
      <c r="D21" s="16" t="s">
        <v>15</v>
      </c>
      <c r="E21" s="16" t="s">
        <v>16</v>
      </c>
      <c r="F21" s="6">
        <v>1</v>
      </c>
      <c r="G21" t="s">
        <v>96</v>
      </c>
      <c r="H21" t="s">
        <v>51</v>
      </c>
      <c r="I21" s="17" t="s">
        <v>19</v>
      </c>
      <c r="J21">
        <f t="shared" si="0"/>
        <v>5</v>
      </c>
      <c r="K21">
        <v>50</v>
      </c>
      <c r="L21" s="7">
        <v>1.4285714285714299E-2</v>
      </c>
      <c r="M21" s="7">
        <f t="shared" si="1"/>
        <v>0.71428571428571397</v>
      </c>
    </row>
    <row r="22" spans="1:13" x14ac:dyDescent="0.45">
      <c r="A22" s="16" t="s">
        <v>97</v>
      </c>
      <c r="B22" s="16" t="s">
        <v>97</v>
      </c>
      <c r="C22" s="16" t="s">
        <v>98</v>
      </c>
      <c r="D22" s="16" t="s">
        <v>44</v>
      </c>
      <c r="E22" s="16" t="s">
        <v>44</v>
      </c>
      <c r="F22" s="6">
        <v>2</v>
      </c>
      <c r="G22" t="s">
        <v>99</v>
      </c>
      <c r="H22" t="s">
        <v>46</v>
      </c>
      <c r="I22" s="3" t="s">
        <v>47</v>
      </c>
      <c r="J22">
        <f t="shared" si="0"/>
        <v>10</v>
      </c>
      <c r="K22">
        <v>20</v>
      </c>
      <c r="L22" s="7">
        <v>7.1428571428571397E-2</v>
      </c>
      <c r="M22" s="7">
        <f t="shared" si="1"/>
        <v>1.4285714285714299</v>
      </c>
    </row>
    <row r="23" spans="1:13" x14ac:dyDescent="0.45">
      <c r="A23" s="16" t="s">
        <v>100</v>
      </c>
      <c r="B23" s="16" t="s">
        <v>101</v>
      </c>
      <c r="C23" s="16" t="s">
        <v>102</v>
      </c>
      <c r="D23" s="22" t="s">
        <v>103</v>
      </c>
      <c r="E23" s="16" t="s">
        <v>104</v>
      </c>
      <c r="F23" s="6">
        <v>4</v>
      </c>
      <c r="G23" t="s">
        <v>105</v>
      </c>
      <c r="H23" s="8" t="s">
        <v>106</v>
      </c>
      <c r="I23" s="17" t="s">
        <v>107</v>
      </c>
      <c r="J23">
        <f t="shared" si="0"/>
        <v>20</v>
      </c>
      <c r="K23">
        <v>100</v>
      </c>
      <c r="L23" s="7">
        <v>4.2857142857142903E-3</v>
      </c>
      <c r="M23" s="7">
        <f t="shared" si="1"/>
        <v>0.42857142857142899</v>
      </c>
    </row>
    <row r="24" spans="1:13" x14ac:dyDescent="0.45">
      <c r="A24" s="16" t="s">
        <v>100</v>
      </c>
      <c r="B24" s="16" t="s">
        <v>101</v>
      </c>
      <c r="C24" s="16" t="s">
        <v>108</v>
      </c>
      <c r="D24" s="22" t="s">
        <v>109</v>
      </c>
      <c r="E24" s="16" t="s">
        <v>104</v>
      </c>
      <c r="F24" s="6">
        <v>2</v>
      </c>
      <c r="G24" t="s">
        <v>110</v>
      </c>
      <c r="H24" s="8" t="s">
        <v>106</v>
      </c>
      <c r="I24" s="17" t="s">
        <v>107</v>
      </c>
      <c r="J24">
        <f t="shared" si="0"/>
        <v>10</v>
      </c>
      <c r="K24">
        <v>100</v>
      </c>
      <c r="L24" s="7">
        <v>4.2857142857142903E-3</v>
      </c>
      <c r="M24" s="7">
        <f t="shared" si="1"/>
        <v>0.42857142857142899</v>
      </c>
    </row>
    <row r="25" spans="1:13" x14ac:dyDescent="0.45">
      <c r="A25" s="16" t="s">
        <v>100</v>
      </c>
      <c r="B25" s="16" t="s">
        <v>101</v>
      </c>
      <c r="C25" s="16" t="s">
        <v>111</v>
      </c>
      <c r="D25" s="22" t="s">
        <v>112</v>
      </c>
      <c r="E25" s="16" t="s">
        <v>104</v>
      </c>
      <c r="F25" s="6">
        <v>1</v>
      </c>
      <c r="G25" t="s">
        <v>113</v>
      </c>
      <c r="H25" s="8" t="s">
        <v>106</v>
      </c>
      <c r="I25" s="17" t="s">
        <v>107</v>
      </c>
      <c r="J25">
        <f t="shared" si="0"/>
        <v>5</v>
      </c>
      <c r="K25">
        <v>100</v>
      </c>
      <c r="L25" s="7">
        <v>7.14285714285714E-3</v>
      </c>
      <c r="M25" s="7">
        <f t="shared" si="1"/>
        <v>0.71428571428571397</v>
      </c>
    </row>
    <row r="26" spans="1:13" x14ac:dyDescent="0.45">
      <c r="A26" s="16" t="s">
        <v>100</v>
      </c>
      <c r="B26" s="16" t="s">
        <v>101</v>
      </c>
      <c r="C26" s="16" t="s">
        <v>114</v>
      </c>
      <c r="D26" s="22" t="s">
        <v>115</v>
      </c>
      <c r="E26" s="16" t="s">
        <v>104</v>
      </c>
      <c r="F26" s="6">
        <v>2</v>
      </c>
      <c r="G26" t="s">
        <v>110</v>
      </c>
      <c r="H26" s="8" t="s">
        <v>106</v>
      </c>
      <c r="I26" s="17" t="s">
        <v>107</v>
      </c>
      <c r="J26">
        <f t="shared" si="0"/>
        <v>10</v>
      </c>
      <c r="K26">
        <v>100</v>
      </c>
      <c r="L26" s="7">
        <v>4.2857142857142903E-3</v>
      </c>
      <c r="M26" s="7">
        <f t="shared" si="1"/>
        <v>0.42857142857142899</v>
      </c>
    </row>
    <row r="27" spans="1:13" x14ac:dyDescent="0.45">
      <c r="A27" s="16" t="s">
        <v>116</v>
      </c>
      <c r="B27" s="16" t="s">
        <v>116</v>
      </c>
      <c r="C27" s="16" t="s">
        <v>117</v>
      </c>
      <c r="D27" s="16" t="s">
        <v>118</v>
      </c>
      <c r="E27" s="16" t="s">
        <v>119</v>
      </c>
      <c r="F27" s="6">
        <v>1</v>
      </c>
      <c r="G27" t="s">
        <v>116</v>
      </c>
      <c r="H27" s="8" t="s">
        <v>120</v>
      </c>
      <c r="I27" s="3" t="s">
        <v>121</v>
      </c>
      <c r="J27">
        <f t="shared" si="0"/>
        <v>5</v>
      </c>
      <c r="K27">
        <v>10</v>
      </c>
      <c r="L27" s="7">
        <v>0.14285714285714299</v>
      </c>
      <c r="M27" s="7">
        <f t="shared" si="1"/>
        <v>1.4285714285714299</v>
      </c>
    </row>
    <row r="28" spans="1:13" x14ac:dyDescent="0.45">
      <c r="A28" s="16" t="s">
        <v>122</v>
      </c>
      <c r="B28" s="16" t="s">
        <v>70</v>
      </c>
      <c r="C28" s="16" t="s">
        <v>123</v>
      </c>
      <c r="D28" s="16" t="s">
        <v>124</v>
      </c>
      <c r="E28" s="16" t="s">
        <v>122</v>
      </c>
      <c r="F28" s="6">
        <v>3</v>
      </c>
      <c r="G28" t="s">
        <v>125</v>
      </c>
      <c r="H28" t="s">
        <v>126</v>
      </c>
      <c r="I28" s="3" t="s">
        <v>127</v>
      </c>
      <c r="J28">
        <f t="shared" si="0"/>
        <v>15</v>
      </c>
      <c r="K28">
        <v>50</v>
      </c>
      <c r="L28" s="7">
        <v>5.7142857142857099E-3</v>
      </c>
      <c r="M28" s="7">
        <f t="shared" si="1"/>
        <v>0.28571428571428598</v>
      </c>
    </row>
    <row r="29" spans="1:13" x14ac:dyDescent="0.45">
      <c r="A29" s="16" t="s">
        <v>128</v>
      </c>
      <c r="B29" s="16" t="s">
        <v>128</v>
      </c>
      <c r="C29" s="16" t="s">
        <v>129</v>
      </c>
      <c r="D29" s="16" t="s">
        <v>130</v>
      </c>
      <c r="E29" s="16" t="s">
        <v>128</v>
      </c>
      <c r="F29" s="6">
        <v>6</v>
      </c>
      <c r="G29" t="s">
        <v>128</v>
      </c>
      <c r="H29" s="8" t="s">
        <v>131</v>
      </c>
      <c r="I29" s="3" t="s">
        <v>132</v>
      </c>
      <c r="J29">
        <f t="shared" si="0"/>
        <v>30</v>
      </c>
      <c r="K29">
        <v>50</v>
      </c>
      <c r="L29" s="7">
        <v>1.4285714285714299E-2</v>
      </c>
      <c r="M29" s="7">
        <f t="shared" si="1"/>
        <v>0.71428571428571397</v>
      </c>
    </row>
    <row r="30" spans="1:13" x14ac:dyDescent="0.45">
      <c r="A30" s="16" t="s">
        <v>133</v>
      </c>
      <c r="B30" s="16" t="s">
        <v>134</v>
      </c>
      <c r="C30" s="16" t="s">
        <v>135</v>
      </c>
      <c r="D30" s="16" t="s">
        <v>136</v>
      </c>
      <c r="E30" s="16" t="s">
        <v>137</v>
      </c>
      <c r="F30" s="6">
        <v>1</v>
      </c>
      <c r="G30" t="s">
        <v>138</v>
      </c>
      <c r="H30" t="s">
        <v>139</v>
      </c>
      <c r="I30" s="3" t="s">
        <v>140</v>
      </c>
      <c r="J30">
        <f t="shared" si="0"/>
        <v>5</v>
      </c>
      <c r="K30">
        <v>5</v>
      </c>
      <c r="L30" s="7">
        <v>0.71428571428571397</v>
      </c>
      <c r="M30" s="7">
        <f t="shared" si="1"/>
        <v>3.5714285714285698</v>
      </c>
    </row>
    <row r="31" spans="1:13" s="2" customFormat="1" x14ac:dyDescent="0.45">
      <c r="A31" s="19" t="s">
        <v>141</v>
      </c>
      <c r="B31" s="19" t="s">
        <v>142</v>
      </c>
      <c r="C31" s="19" t="s">
        <v>143</v>
      </c>
      <c r="D31" s="19" t="s">
        <v>141</v>
      </c>
      <c r="E31" s="19" t="s">
        <v>141</v>
      </c>
      <c r="F31" s="9">
        <v>1</v>
      </c>
      <c r="I31" s="10"/>
      <c r="J31" s="2">
        <f t="shared" si="0"/>
        <v>5</v>
      </c>
      <c r="L31" s="11">
        <v>0</v>
      </c>
      <c r="M31" s="11">
        <f t="shared" si="1"/>
        <v>0</v>
      </c>
    </row>
    <row r="32" spans="1:13" x14ac:dyDescent="0.45">
      <c r="A32" s="16" t="s">
        <v>144</v>
      </c>
      <c r="B32" s="16" t="s">
        <v>144</v>
      </c>
      <c r="C32" s="16" t="s">
        <v>145</v>
      </c>
      <c r="D32" s="16" t="s">
        <v>146</v>
      </c>
      <c r="E32" s="16" t="s">
        <v>147</v>
      </c>
      <c r="F32" s="6">
        <v>6</v>
      </c>
      <c r="G32" t="s">
        <v>148</v>
      </c>
      <c r="H32" t="s">
        <v>149</v>
      </c>
      <c r="I32" s="3" t="s">
        <v>150</v>
      </c>
      <c r="J32">
        <f t="shared" si="0"/>
        <v>30</v>
      </c>
      <c r="K32">
        <v>30</v>
      </c>
      <c r="L32" s="7">
        <v>0.85714285714285698</v>
      </c>
      <c r="M32" s="7">
        <f t="shared" si="1"/>
        <v>25.714285714285701</v>
      </c>
    </row>
    <row r="33" spans="1:13" x14ac:dyDescent="0.45">
      <c r="A33" s="16" t="s">
        <v>151</v>
      </c>
      <c r="B33" s="6"/>
      <c r="C33" s="16" t="s">
        <v>152</v>
      </c>
      <c r="D33" s="16" t="s">
        <v>153</v>
      </c>
      <c r="E33" s="16" t="s">
        <v>154</v>
      </c>
      <c r="F33" s="6">
        <v>1</v>
      </c>
      <c r="G33" t="s">
        <v>155</v>
      </c>
      <c r="H33" t="s">
        <v>156</v>
      </c>
      <c r="I33" s="3" t="s">
        <v>157</v>
      </c>
      <c r="J33">
        <f t="shared" si="0"/>
        <v>5</v>
      </c>
      <c r="K33">
        <v>5</v>
      </c>
      <c r="L33" s="7">
        <v>0.35714285714285698</v>
      </c>
      <c r="M33" s="7">
        <f t="shared" si="1"/>
        <v>1.78571428571429</v>
      </c>
    </row>
    <row r="34" spans="1:13" x14ac:dyDescent="0.45">
      <c r="A34" s="16" t="s">
        <v>158</v>
      </c>
      <c r="B34" s="16" t="s">
        <v>70</v>
      </c>
      <c r="C34" s="16" t="s">
        <v>159</v>
      </c>
      <c r="D34" s="16" t="s">
        <v>158</v>
      </c>
      <c r="E34" s="16" t="s">
        <v>158</v>
      </c>
      <c r="F34" s="6">
        <v>2</v>
      </c>
      <c r="G34" t="s">
        <v>160</v>
      </c>
      <c r="H34" t="s">
        <v>161</v>
      </c>
      <c r="I34" s="3" t="s">
        <v>162</v>
      </c>
      <c r="J34">
        <f t="shared" si="0"/>
        <v>10</v>
      </c>
      <c r="K34">
        <v>20</v>
      </c>
      <c r="L34" s="7">
        <v>2.2857142857142899E-2</v>
      </c>
      <c r="M34" s="7">
        <f t="shared" si="1"/>
        <v>0.45714285714285702</v>
      </c>
    </row>
    <row r="35" spans="1:13" s="2" customFormat="1" x14ac:dyDescent="0.45">
      <c r="A35" s="19" t="s">
        <v>163</v>
      </c>
      <c r="B35" s="19" t="s">
        <v>142</v>
      </c>
      <c r="C35" s="19" t="s">
        <v>164</v>
      </c>
      <c r="D35" s="19" t="s">
        <v>165</v>
      </c>
      <c r="E35" s="19" t="s">
        <v>166</v>
      </c>
      <c r="F35" s="9">
        <v>1</v>
      </c>
      <c r="I35" s="10"/>
      <c r="J35" s="2">
        <f t="shared" ref="J35:J66" si="2">F35*5</f>
        <v>5</v>
      </c>
      <c r="L35" s="11">
        <v>0</v>
      </c>
      <c r="M35" s="11">
        <f t="shared" ref="M35:M66" si="3">K35*L35</f>
        <v>0</v>
      </c>
    </row>
    <row r="36" spans="1:13" s="2" customFormat="1" x14ac:dyDescent="0.45">
      <c r="A36" s="19" t="s">
        <v>167</v>
      </c>
      <c r="B36" s="19" t="s">
        <v>142</v>
      </c>
      <c r="C36" s="19" t="s">
        <v>168</v>
      </c>
      <c r="D36" s="19" t="s">
        <v>165</v>
      </c>
      <c r="E36" s="19" t="s">
        <v>166</v>
      </c>
      <c r="F36" s="9">
        <v>1</v>
      </c>
      <c r="I36" s="10"/>
      <c r="J36" s="2">
        <f t="shared" si="2"/>
        <v>5</v>
      </c>
      <c r="L36" s="11">
        <v>0</v>
      </c>
      <c r="M36" s="11">
        <f t="shared" si="3"/>
        <v>0</v>
      </c>
    </row>
    <row r="37" spans="1:13" s="2" customFormat="1" x14ac:dyDescent="0.45">
      <c r="A37" s="19" t="s">
        <v>169</v>
      </c>
      <c r="B37" s="19" t="s">
        <v>142</v>
      </c>
      <c r="C37" s="19" t="s">
        <v>170</v>
      </c>
      <c r="D37" s="19" t="s">
        <v>165</v>
      </c>
      <c r="E37" s="19" t="s">
        <v>166</v>
      </c>
      <c r="F37" s="9">
        <v>1</v>
      </c>
      <c r="I37" s="10"/>
      <c r="J37" s="2">
        <f t="shared" si="2"/>
        <v>5</v>
      </c>
      <c r="L37" s="11">
        <v>0</v>
      </c>
      <c r="M37" s="11">
        <f t="shared" si="3"/>
        <v>0</v>
      </c>
    </row>
    <row r="38" spans="1:13" s="2" customFormat="1" x14ac:dyDescent="0.45">
      <c r="A38" s="19" t="s">
        <v>171</v>
      </c>
      <c r="B38" s="19" t="s">
        <v>142</v>
      </c>
      <c r="C38" s="19" t="s">
        <v>172</v>
      </c>
      <c r="D38" s="19" t="s">
        <v>165</v>
      </c>
      <c r="E38" s="19" t="s">
        <v>166</v>
      </c>
      <c r="F38" s="9">
        <v>1</v>
      </c>
      <c r="I38" s="10"/>
      <c r="J38" s="2">
        <f t="shared" si="2"/>
        <v>5</v>
      </c>
      <c r="L38" s="11">
        <v>0</v>
      </c>
      <c r="M38" s="11">
        <f t="shared" si="3"/>
        <v>0</v>
      </c>
    </row>
    <row r="39" spans="1:13" s="2" customFormat="1" x14ac:dyDescent="0.45">
      <c r="A39" s="19" t="s">
        <v>173</v>
      </c>
      <c r="B39" s="19" t="s">
        <v>142</v>
      </c>
      <c r="C39" s="19" t="s">
        <v>174</v>
      </c>
      <c r="D39" s="19" t="s">
        <v>165</v>
      </c>
      <c r="E39" s="19" t="s">
        <v>166</v>
      </c>
      <c r="F39" s="9">
        <v>4</v>
      </c>
      <c r="I39" s="10"/>
      <c r="J39" s="2">
        <f t="shared" si="2"/>
        <v>20</v>
      </c>
      <c r="L39" s="11">
        <v>0</v>
      </c>
      <c r="M39" s="11">
        <f t="shared" si="3"/>
        <v>0</v>
      </c>
    </row>
    <row r="40" spans="1:13" s="2" customFormat="1" x14ac:dyDescent="0.45">
      <c r="A40" s="19" t="s">
        <v>175</v>
      </c>
      <c r="B40" s="19" t="s">
        <v>142</v>
      </c>
      <c r="C40" s="19" t="s">
        <v>176</v>
      </c>
      <c r="D40" s="19" t="s">
        <v>165</v>
      </c>
      <c r="E40" s="19" t="s">
        <v>166</v>
      </c>
      <c r="F40" s="9">
        <v>4</v>
      </c>
      <c r="I40" s="10"/>
      <c r="J40" s="2">
        <f t="shared" si="2"/>
        <v>20</v>
      </c>
      <c r="L40" s="11">
        <v>0</v>
      </c>
      <c r="M40" s="11">
        <f t="shared" si="3"/>
        <v>0</v>
      </c>
    </row>
    <row r="41" spans="1:13" x14ac:dyDescent="0.45">
      <c r="A41" s="16" t="s">
        <v>70</v>
      </c>
      <c r="B41" s="16" t="s">
        <v>70</v>
      </c>
      <c r="C41" s="16" t="s">
        <v>177</v>
      </c>
      <c r="D41" s="16" t="s">
        <v>178</v>
      </c>
      <c r="E41" s="16" t="s">
        <v>179</v>
      </c>
      <c r="F41" s="6">
        <v>4</v>
      </c>
      <c r="G41" t="s">
        <v>160</v>
      </c>
      <c r="H41" t="s">
        <v>161</v>
      </c>
      <c r="I41" s="3" t="s">
        <v>162</v>
      </c>
      <c r="J41">
        <f t="shared" si="2"/>
        <v>20</v>
      </c>
      <c r="K41">
        <v>30</v>
      </c>
      <c r="L41" s="7">
        <v>2.2857142857142899E-2</v>
      </c>
      <c r="M41" s="7">
        <f t="shared" si="3"/>
        <v>0.68571428571428605</v>
      </c>
    </row>
    <row r="42" spans="1:13" x14ac:dyDescent="0.45">
      <c r="A42" s="16" t="s">
        <v>180</v>
      </c>
      <c r="B42" s="16" t="s">
        <v>180</v>
      </c>
      <c r="C42" s="16" t="s">
        <v>181</v>
      </c>
      <c r="D42" s="16" t="s">
        <v>182</v>
      </c>
      <c r="E42" s="16" t="s">
        <v>183</v>
      </c>
      <c r="F42" s="6">
        <v>2</v>
      </c>
      <c r="G42" t="s">
        <v>184</v>
      </c>
      <c r="H42" t="s">
        <v>185</v>
      </c>
      <c r="I42" s="3" t="s">
        <v>186</v>
      </c>
      <c r="J42">
        <f t="shared" si="2"/>
        <v>10</v>
      </c>
      <c r="K42">
        <v>20</v>
      </c>
      <c r="L42" s="7">
        <v>0.14285714285714299</v>
      </c>
      <c r="M42" s="7">
        <f t="shared" si="3"/>
        <v>2.8571428571428599</v>
      </c>
    </row>
    <row r="43" spans="1:13" x14ac:dyDescent="0.45">
      <c r="A43" s="16" t="s">
        <v>187</v>
      </c>
      <c r="B43" s="6"/>
      <c r="C43" s="16" t="s">
        <v>188</v>
      </c>
      <c r="D43" s="16" t="s">
        <v>182</v>
      </c>
      <c r="E43" s="16" t="s">
        <v>189</v>
      </c>
      <c r="F43" s="6">
        <v>1</v>
      </c>
      <c r="G43" t="s">
        <v>190</v>
      </c>
      <c r="H43" t="s">
        <v>191</v>
      </c>
      <c r="I43" s="3" t="s">
        <v>186</v>
      </c>
      <c r="J43">
        <f t="shared" si="2"/>
        <v>5</v>
      </c>
      <c r="K43">
        <v>5</v>
      </c>
      <c r="L43" s="7">
        <v>0.14285714285714299</v>
      </c>
      <c r="M43" s="7">
        <f t="shared" si="3"/>
        <v>0.71428571428571397</v>
      </c>
    </row>
    <row r="44" spans="1:13" x14ac:dyDescent="0.45">
      <c r="A44" s="16" t="s">
        <v>192</v>
      </c>
      <c r="B44" s="16" t="s">
        <v>192</v>
      </c>
      <c r="C44" s="16" t="s">
        <v>193</v>
      </c>
      <c r="D44" s="16" t="s">
        <v>194</v>
      </c>
      <c r="E44" s="16" t="s">
        <v>195</v>
      </c>
      <c r="F44" s="6">
        <v>3</v>
      </c>
      <c r="G44" t="s">
        <v>196</v>
      </c>
      <c r="H44" t="s">
        <v>185</v>
      </c>
      <c r="I44" s="3" t="s">
        <v>197</v>
      </c>
      <c r="J44">
        <f t="shared" si="2"/>
        <v>15</v>
      </c>
      <c r="K44">
        <v>20</v>
      </c>
      <c r="L44" s="7">
        <v>0.114285714285714</v>
      </c>
      <c r="M44" s="7">
        <f t="shared" si="3"/>
        <v>2.28571428571429</v>
      </c>
    </row>
    <row r="45" spans="1:13" x14ac:dyDescent="0.45">
      <c r="A45" s="16" t="s">
        <v>198</v>
      </c>
      <c r="B45" s="16" t="s">
        <v>199</v>
      </c>
      <c r="C45" s="16" t="s">
        <v>200</v>
      </c>
      <c r="D45" s="16" t="s">
        <v>198</v>
      </c>
      <c r="E45" s="16" t="s">
        <v>198</v>
      </c>
      <c r="F45" s="6">
        <v>4</v>
      </c>
      <c r="G45" t="s">
        <v>201</v>
      </c>
      <c r="H45" t="s">
        <v>202</v>
      </c>
      <c r="I45" s="3" t="s">
        <v>203</v>
      </c>
      <c r="J45">
        <f t="shared" si="2"/>
        <v>20</v>
      </c>
      <c r="K45">
        <v>30</v>
      </c>
      <c r="L45" s="7">
        <v>4.2857142857142899E-2</v>
      </c>
      <c r="M45" s="7">
        <f t="shared" si="3"/>
        <v>1.28571428571429</v>
      </c>
    </row>
    <row r="46" spans="1:13" x14ac:dyDescent="0.45">
      <c r="A46" s="16" t="s">
        <v>204</v>
      </c>
      <c r="B46" s="16" t="s">
        <v>205</v>
      </c>
      <c r="C46" s="16" t="s">
        <v>206</v>
      </c>
      <c r="D46" s="16" t="s">
        <v>204</v>
      </c>
      <c r="E46" s="16" t="s">
        <v>204</v>
      </c>
      <c r="F46" s="6">
        <v>5</v>
      </c>
      <c r="G46" t="s">
        <v>207</v>
      </c>
      <c r="H46" t="s">
        <v>208</v>
      </c>
      <c r="I46" s="3" t="s">
        <v>209</v>
      </c>
      <c r="J46">
        <f t="shared" si="2"/>
        <v>25</v>
      </c>
      <c r="K46">
        <v>40</v>
      </c>
      <c r="L46" s="7">
        <v>4.2857142857142899E-2</v>
      </c>
      <c r="M46" s="7">
        <f t="shared" si="3"/>
        <v>1.71428571428571</v>
      </c>
    </row>
    <row r="47" spans="1:13" x14ac:dyDescent="0.45">
      <c r="A47" s="16" t="s">
        <v>210</v>
      </c>
      <c r="B47" s="16" t="s">
        <v>211</v>
      </c>
      <c r="C47" s="16" t="s">
        <v>212</v>
      </c>
      <c r="D47" s="16" t="s">
        <v>210</v>
      </c>
      <c r="E47" s="16" t="s">
        <v>210</v>
      </c>
      <c r="F47" s="6">
        <v>2</v>
      </c>
      <c r="G47" t="s">
        <v>213</v>
      </c>
      <c r="H47" t="s">
        <v>202</v>
      </c>
      <c r="I47" s="3" t="s">
        <v>214</v>
      </c>
      <c r="J47">
        <f t="shared" si="2"/>
        <v>10</v>
      </c>
      <c r="K47">
        <v>20</v>
      </c>
      <c r="L47" s="7">
        <v>5.7142857142857099E-2</v>
      </c>
      <c r="M47" s="7">
        <f t="shared" si="3"/>
        <v>1.1428571428571399</v>
      </c>
    </row>
    <row r="48" spans="1:13" x14ac:dyDescent="0.45">
      <c r="A48" s="16" t="s">
        <v>215</v>
      </c>
      <c r="B48" s="16" t="s">
        <v>216</v>
      </c>
      <c r="C48" s="16" t="s">
        <v>217</v>
      </c>
      <c r="D48" s="16" t="s">
        <v>218</v>
      </c>
      <c r="E48" s="16" t="s">
        <v>219</v>
      </c>
      <c r="F48" s="6">
        <v>3</v>
      </c>
      <c r="G48" t="s">
        <v>215</v>
      </c>
      <c r="H48" t="s">
        <v>220</v>
      </c>
      <c r="I48" s="3" t="s">
        <v>221</v>
      </c>
      <c r="J48">
        <f t="shared" si="2"/>
        <v>15</v>
      </c>
      <c r="K48">
        <v>50</v>
      </c>
      <c r="L48" s="7">
        <v>1.4285714285714299E-2</v>
      </c>
      <c r="M48" s="7">
        <f t="shared" si="3"/>
        <v>0.71428571428571397</v>
      </c>
    </row>
    <row r="49" spans="1:13" x14ac:dyDescent="0.45">
      <c r="A49" s="16" t="s">
        <v>222</v>
      </c>
      <c r="B49" s="16" t="s">
        <v>223</v>
      </c>
      <c r="C49" s="16" t="s">
        <v>224</v>
      </c>
      <c r="D49" s="16" t="s">
        <v>225</v>
      </c>
      <c r="E49" s="16" t="s">
        <v>222</v>
      </c>
      <c r="F49" s="6">
        <v>1</v>
      </c>
      <c r="G49" t="s">
        <v>222</v>
      </c>
      <c r="H49" t="s">
        <v>226</v>
      </c>
      <c r="I49" s="3" t="s">
        <v>221</v>
      </c>
      <c r="J49">
        <f t="shared" si="2"/>
        <v>5</v>
      </c>
      <c r="K49">
        <v>50</v>
      </c>
      <c r="L49" s="7">
        <v>1.85714285714286E-2</v>
      </c>
      <c r="M49" s="7">
        <f t="shared" si="3"/>
        <v>0.92857142857142905</v>
      </c>
    </row>
    <row r="50" spans="1:13" x14ac:dyDescent="0.45">
      <c r="A50" s="16" t="s">
        <v>227</v>
      </c>
      <c r="B50" s="16" t="s">
        <v>227</v>
      </c>
      <c r="C50" s="16" t="s">
        <v>228</v>
      </c>
      <c r="D50" s="16" t="s">
        <v>229</v>
      </c>
      <c r="E50" s="16" t="s">
        <v>230</v>
      </c>
      <c r="F50" s="6">
        <v>60</v>
      </c>
      <c r="G50" t="s">
        <v>231</v>
      </c>
      <c r="H50" t="s">
        <v>232</v>
      </c>
      <c r="I50" s="17" t="s">
        <v>19</v>
      </c>
      <c r="J50">
        <f t="shared" si="2"/>
        <v>300</v>
      </c>
      <c r="K50">
        <v>400</v>
      </c>
      <c r="L50" s="7">
        <v>2.2857142857142898E-3</v>
      </c>
      <c r="M50" s="7">
        <f t="shared" si="3"/>
        <v>0.91428571428571404</v>
      </c>
    </row>
    <row r="51" spans="1:13" x14ac:dyDescent="0.45">
      <c r="A51" s="16" t="s">
        <v>233</v>
      </c>
      <c r="B51" s="16" t="s">
        <v>233</v>
      </c>
      <c r="C51" s="16" t="s">
        <v>234</v>
      </c>
      <c r="D51" s="16" t="s">
        <v>229</v>
      </c>
      <c r="E51" s="16" t="s">
        <v>230</v>
      </c>
      <c r="F51" s="6">
        <v>9</v>
      </c>
      <c r="G51" t="s">
        <v>235</v>
      </c>
      <c r="H51" t="s">
        <v>232</v>
      </c>
      <c r="I51" s="17" t="s">
        <v>19</v>
      </c>
      <c r="J51">
        <f t="shared" si="2"/>
        <v>45</v>
      </c>
      <c r="K51">
        <v>100</v>
      </c>
      <c r="L51" s="7">
        <v>2.8571428571428602E-3</v>
      </c>
      <c r="M51" s="7">
        <f t="shared" si="3"/>
        <v>0.28571428571428598</v>
      </c>
    </row>
    <row r="52" spans="1:13" x14ac:dyDescent="0.45">
      <c r="A52" s="16" t="s">
        <v>236</v>
      </c>
      <c r="B52" s="16" t="s">
        <v>236</v>
      </c>
      <c r="C52" s="16" t="s">
        <v>237</v>
      </c>
      <c r="D52" s="16" t="s">
        <v>229</v>
      </c>
      <c r="E52" s="16" t="s">
        <v>230</v>
      </c>
      <c r="F52" s="6">
        <v>2</v>
      </c>
      <c r="G52" t="s">
        <v>238</v>
      </c>
      <c r="H52" t="s">
        <v>232</v>
      </c>
      <c r="I52" s="17" t="s">
        <v>19</v>
      </c>
      <c r="J52">
        <f t="shared" si="2"/>
        <v>10</v>
      </c>
      <c r="K52">
        <v>100</v>
      </c>
      <c r="L52" s="7">
        <v>2.8571428571428602E-3</v>
      </c>
      <c r="M52" s="7">
        <f t="shared" si="3"/>
        <v>0.28571428571428598</v>
      </c>
    </row>
    <row r="53" spans="1:13" x14ac:dyDescent="0.45">
      <c r="A53" s="16" t="s">
        <v>239</v>
      </c>
      <c r="B53" s="16" t="s">
        <v>239</v>
      </c>
      <c r="C53" s="16" t="s">
        <v>240</v>
      </c>
      <c r="D53" s="16" t="s">
        <v>229</v>
      </c>
      <c r="E53" s="16" t="s">
        <v>230</v>
      </c>
      <c r="F53" s="6">
        <v>2</v>
      </c>
      <c r="G53" t="s">
        <v>241</v>
      </c>
      <c r="H53" t="s">
        <v>232</v>
      </c>
      <c r="I53" s="17" t="s">
        <v>19</v>
      </c>
      <c r="J53">
        <f t="shared" si="2"/>
        <v>10</v>
      </c>
      <c r="K53">
        <v>100</v>
      </c>
      <c r="L53" s="7">
        <v>2.8571428571428602E-3</v>
      </c>
      <c r="M53" s="7">
        <f t="shared" si="3"/>
        <v>0.28571428571428598</v>
      </c>
    </row>
    <row r="54" spans="1:13" x14ac:dyDescent="0.45">
      <c r="A54" s="16" t="s">
        <v>242</v>
      </c>
      <c r="B54" s="16" t="s">
        <v>242</v>
      </c>
      <c r="C54" s="16" t="s">
        <v>243</v>
      </c>
      <c r="D54" s="16" t="s">
        <v>229</v>
      </c>
      <c r="E54" s="16" t="s">
        <v>230</v>
      </c>
      <c r="F54" s="6">
        <v>2</v>
      </c>
      <c r="G54" t="s">
        <v>244</v>
      </c>
      <c r="H54" t="s">
        <v>232</v>
      </c>
      <c r="I54" s="17" t="s">
        <v>19</v>
      </c>
      <c r="J54">
        <f t="shared" si="2"/>
        <v>10</v>
      </c>
      <c r="K54">
        <v>100</v>
      </c>
      <c r="L54" s="7">
        <v>2.8571428571428602E-3</v>
      </c>
      <c r="M54" s="7">
        <f t="shared" si="3"/>
        <v>0.28571428571428598</v>
      </c>
    </row>
    <row r="55" spans="1:13" x14ac:dyDescent="0.45">
      <c r="A55" s="16" t="s">
        <v>245</v>
      </c>
      <c r="B55" s="16" t="s">
        <v>245</v>
      </c>
      <c r="C55" s="16" t="s">
        <v>246</v>
      </c>
      <c r="D55" s="16" t="s">
        <v>229</v>
      </c>
      <c r="E55" s="16" t="s">
        <v>230</v>
      </c>
      <c r="F55" s="6">
        <v>23</v>
      </c>
      <c r="G55" t="s">
        <v>247</v>
      </c>
      <c r="H55" t="s">
        <v>232</v>
      </c>
      <c r="I55" s="17" t="s">
        <v>19</v>
      </c>
      <c r="J55">
        <f t="shared" si="2"/>
        <v>115</v>
      </c>
      <c r="K55">
        <v>200</v>
      </c>
      <c r="L55" s="7">
        <v>2.8571428571428602E-3</v>
      </c>
      <c r="M55" s="7">
        <f t="shared" si="3"/>
        <v>0.57142857142857095</v>
      </c>
    </row>
    <row r="56" spans="1:13" x14ac:dyDescent="0.45">
      <c r="A56" s="16" t="s">
        <v>248</v>
      </c>
      <c r="B56" s="16" t="s">
        <v>248</v>
      </c>
      <c r="C56" s="16" t="s">
        <v>249</v>
      </c>
      <c r="D56" s="16" t="s">
        <v>229</v>
      </c>
      <c r="E56" s="16" t="s">
        <v>230</v>
      </c>
      <c r="F56" s="6">
        <v>1</v>
      </c>
      <c r="G56" t="s">
        <v>250</v>
      </c>
      <c r="H56" t="s">
        <v>232</v>
      </c>
      <c r="I56" s="17" t="s">
        <v>19</v>
      </c>
      <c r="J56">
        <f t="shared" si="2"/>
        <v>5</v>
      </c>
      <c r="K56">
        <v>100</v>
      </c>
      <c r="L56" s="7">
        <v>2.8571428571428602E-3</v>
      </c>
      <c r="M56" s="7">
        <f t="shared" si="3"/>
        <v>0.28571428571428598</v>
      </c>
    </row>
    <row r="57" spans="1:13" x14ac:dyDescent="0.45">
      <c r="A57" s="16" t="s">
        <v>251</v>
      </c>
      <c r="B57" s="16" t="s">
        <v>251</v>
      </c>
      <c r="C57" s="16" t="s">
        <v>252</v>
      </c>
      <c r="D57" s="16" t="s">
        <v>253</v>
      </c>
      <c r="E57" s="16" t="s">
        <v>230</v>
      </c>
      <c r="F57" s="6">
        <v>6</v>
      </c>
      <c r="G57" t="s">
        <v>254</v>
      </c>
      <c r="H57" t="s">
        <v>255</v>
      </c>
      <c r="I57" s="3">
        <v>2512</v>
      </c>
      <c r="J57">
        <f t="shared" si="2"/>
        <v>30</v>
      </c>
      <c r="K57">
        <v>40</v>
      </c>
      <c r="L57" s="7">
        <v>3.7142857142857102E-2</v>
      </c>
      <c r="M57" s="7">
        <f t="shared" si="3"/>
        <v>1.48571428571429</v>
      </c>
    </row>
    <row r="58" spans="1:13" x14ac:dyDescent="0.45">
      <c r="A58" s="16" t="s">
        <v>245</v>
      </c>
      <c r="B58" s="16" t="s">
        <v>245</v>
      </c>
      <c r="C58" s="16" t="s">
        <v>256</v>
      </c>
      <c r="D58" s="16" t="s">
        <v>253</v>
      </c>
      <c r="E58" s="16" t="s">
        <v>230</v>
      </c>
      <c r="F58" s="6">
        <v>6</v>
      </c>
      <c r="G58" t="s">
        <v>257</v>
      </c>
      <c r="H58" t="s">
        <v>255</v>
      </c>
      <c r="I58" s="3">
        <v>2512</v>
      </c>
      <c r="J58">
        <f t="shared" si="2"/>
        <v>30</v>
      </c>
      <c r="K58">
        <v>40</v>
      </c>
      <c r="L58" s="7">
        <v>2.8571428571428598E-2</v>
      </c>
      <c r="M58" s="7">
        <f t="shared" si="3"/>
        <v>1.1428571428571399</v>
      </c>
    </row>
    <row r="59" spans="1:13" x14ac:dyDescent="0.45">
      <c r="A59" s="16" t="s">
        <v>258</v>
      </c>
      <c r="B59" s="16" t="s">
        <v>258</v>
      </c>
      <c r="C59" s="16" t="s">
        <v>259</v>
      </c>
      <c r="D59" s="16" t="s">
        <v>229</v>
      </c>
      <c r="E59" s="16" t="s">
        <v>230</v>
      </c>
      <c r="F59" s="6">
        <v>1</v>
      </c>
      <c r="G59" t="s">
        <v>260</v>
      </c>
      <c r="H59" t="s">
        <v>255</v>
      </c>
      <c r="I59" s="17" t="s">
        <v>19</v>
      </c>
      <c r="J59">
        <f t="shared" si="2"/>
        <v>5</v>
      </c>
      <c r="K59">
        <v>100</v>
      </c>
      <c r="L59" s="7">
        <v>2.8571428571428602E-3</v>
      </c>
      <c r="M59" s="7">
        <f t="shared" si="3"/>
        <v>0.28571428571428598</v>
      </c>
    </row>
    <row r="60" spans="1:13" x14ac:dyDescent="0.45">
      <c r="A60" s="16" t="s">
        <v>261</v>
      </c>
      <c r="B60" s="16" t="s">
        <v>261</v>
      </c>
      <c r="C60" s="16" t="s">
        <v>262</v>
      </c>
      <c r="D60" s="16" t="s">
        <v>229</v>
      </c>
      <c r="E60" s="16" t="s">
        <v>230</v>
      </c>
      <c r="F60" s="6">
        <v>4</v>
      </c>
      <c r="G60" t="s">
        <v>263</v>
      </c>
      <c r="H60" t="s">
        <v>255</v>
      </c>
      <c r="I60" s="17" t="s">
        <v>19</v>
      </c>
      <c r="J60">
        <f t="shared" si="2"/>
        <v>20</v>
      </c>
      <c r="K60">
        <v>100</v>
      </c>
      <c r="L60" s="7">
        <v>2.8571428571428602E-3</v>
      </c>
      <c r="M60" s="7">
        <f t="shared" si="3"/>
        <v>0.28571428571428598</v>
      </c>
    </row>
    <row r="61" spans="1:13" x14ac:dyDescent="0.45">
      <c r="A61" s="16" t="s">
        <v>264</v>
      </c>
      <c r="B61" s="16" t="s">
        <v>264</v>
      </c>
      <c r="C61" s="16" t="s">
        <v>265</v>
      </c>
      <c r="D61" s="16" t="s">
        <v>229</v>
      </c>
      <c r="E61" s="16" t="s">
        <v>230</v>
      </c>
      <c r="F61" s="6">
        <v>1</v>
      </c>
      <c r="G61" t="s">
        <v>266</v>
      </c>
      <c r="H61" t="s">
        <v>232</v>
      </c>
      <c r="I61" s="17" t="s">
        <v>19</v>
      </c>
      <c r="J61">
        <f t="shared" si="2"/>
        <v>5</v>
      </c>
      <c r="K61">
        <v>100</v>
      </c>
      <c r="L61" s="7">
        <v>2.8571428571428602E-3</v>
      </c>
      <c r="M61" s="7">
        <f t="shared" si="3"/>
        <v>0.28571428571428598</v>
      </c>
    </row>
    <row r="62" spans="1:13" x14ac:dyDescent="0.45">
      <c r="A62" s="16" t="s">
        <v>267</v>
      </c>
      <c r="B62" s="16" t="s">
        <v>267</v>
      </c>
      <c r="C62" s="16" t="s">
        <v>268</v>
      </c>
      <c r="D62" s="16" t="s">
        <v>229</v>
      </c>
      <c r="E62" s="16" t="s">
        <v>230</v>
      </c>
      <c r="F62" s="6">
        <v>1</v>
      </c>
      <c r="G62" t="s">
        <v>269</v>
      </c>
      <c r="H62" t="s">
        <v>232</v>
      </c>
      <c r="I62" s="17" t="s">
        <v>19</v>
      </c>
      <c r="J62">
        <f t="shared" si="2"/>
        <v>5</v>
      </c>
      <c r="K62">
        <v>100</v>
      </c>
      <c r="L62" s="7">
        <v>2.8571428571428602E-3</v>
      </c>
      <c r="M62" s="7">
        <f t="shared" si="3"/>
        <v>0.28571428571428598</v>
      </c>
    </row>
    <row r="63" spans="1:13" x14ac:dyDescent="0.45">
      <c r="A63" s="16" t="s">
        <v>261</v>
      </c>
      <c r="B63" s="16" t="s">
        <v>270</v>
      </c>
      <c r="C63" s="16" t="s">
        <v>271</v>
      </c>
      <c r="D63" s="16" t="s">
        <v>253</v>
      </c>
      <c r="E63" s="16" t="s">
        <v>230</v>
      </c>
      <c r="F63" s="6">
        <v>3</v>
      </c>
      <c r="G63" t="s">
        <v>272</v>
      </c>
      <c r="H63" t="s">
        <v>232</v>
      </c>
      <c r="I63" s="17" t="s">
        <v>19</v>
      </c>
      <c r="J63">
        <f t="shared" si="2"/>
        <v>15</v>
      </c>
      <c r="K63">
        <v>100</v>
      </c>
      <c r="L63" s="7">
        <v>2.8571428571428602E-3</v>
      </c>
      <c r="M63" s="7">
        <f t="shared" si="3"/>
        <v>0.28571428571428598</v>
      </c>
    </row>
    <row r="64" spans="1:13" s="2" customFormat="1" x14ac:dyDescent="0.45">
      <c r="A64" s="19" t="s">
        <v>273</v>
      </c>
      <c r="B64" s="19" t="s">
        <v>274</v>
      </c>
      <c r="C64" s="19" t="s">
        <v>275</v>
      </c>
      <c r="D64" s="19" t="s">
        <v>229</v>
      </c>
      <c r="E64" s="19" t="s">
        <v>230</v>
      </c>
      <c r="F64" s="9">
        <v>1</v>
      </c>
      <c r="G64" s="2" t="s">
        <v>247</v>
      </c>
      <c r="H64" s="2" t="s">
        <v>232</v>
      </c>
      <c r="I64" s="20" t="s">
        <v>19</v>
      </c>
      <c r="J64" s="2">
        <f t="shared" si="2"/>
        <v>5</v>
      </c>
      <c r="K64" s="2">
        <v>200</v>
      </c>
      <c r="L64" s="11">
        <v>2.8571428571428602E-3</v>
      </c>
      <c r="M64" s="11">
        <f t="shared" si="3"/>
        <v>0.57142857142857095</v>
      </c>
    </row>
    <row r="65" spans="1:13" x14ac:dyDescent="0.45">
      <c r="A65" s="16" t="s">
        <v>276</v>
      </c>
      <c r="B65" s="16" t="s">
        <v>276</v>
      </c>
      <c r="C65" s="16" t="s">
        <v>277</v>
      </c>
      <c r="D65" s="16" t="s">
        <v>229</v>
      </c>
      <c r="E65" s="16" t="s">
        <v>230</v>
      </c>
      <c r="F65" s="6">
        <v>3</v>
      </c>
      <c r="G65" t="s">
        <v>278</v>
      </c>
      <c r="H65" t="s">
        <v>232</v>
      </c>
      <c r="I65" s="17" t="s">
        <v>19</v>
      </c>
      <c r="J65">
        <f t="shared" si="2"/>
        <v>15</v>
      </c>
      <c r="K65">
        <v>100</v>
      </c>
      <c r="L65" s="7">
        <v>2.8571428571428602E-3</v>
      </c>
      <c r="M65" s="7">
        <f t="shared" si="3"/>
        <v>0.28571428571428598</v>
      </c>
    </row>
    <row r="66" spans="1:13" x14ac:dyDescent="0.45">
      <c r="A66" s="16" t="s">
        <v>279</v>
      </c>
      <c r="B66" s="16" t="s">
        <v>279</v>
      </c>
      <c r="C66" s="16" t="s">
        <v>280</v>
      </c>
      <c r="D66" s="16" t="s">
        <v>229</v>
      </c>
      <c r="E66" s="16" t="s">
        <v>230</v>
      </c>
      <c r="F66" s="6">
        <v>1</v>
      </c>
      <c r="G66" t="s">
        <v>281</v>
      </c>
      <c r="H66" t="s">
        <v>232</v>
      </c>
      <c r="I66" s="17" t="s">
        <v>19</v>
      </c>
      <c r="J66">
        <f t="shared" si="2"/>
        <v>5</v>
      </c>
      <c r="K66">
        <v>100</v>
      </c>
      <c r="L66" s="7">
        <v>2.8571428571428602E-3</v>
      </c>
      <c r="M66" s="7">
        <f t="shared" si="3"/>
        <v>0.28571428571428598</v>
      </c>
    </row>
    <row r="67" spans="1:13" x14ac:dyDescent="0.45">
      <c r="A67" s="16" t="s">
        <v>282</v>
      </c>
      <c r="B67" s="16" t="s">
        <v>273</v>
      </c>
      <c r="C67" s="16" t="s">
        <v>283</v>
      </c>
      <c r="D67" s="16" t="s">
        <v>284</v>
      </c>
      <c r="E67" s="16" t="s">
        <v>285</v>
      </c>
      <c r="F67" s="6">
        <v>1</v>
      </c>
      <c r="G67" t="s">
        <v>286</v>
      </c>
      <c r="H67" t="s">
        <v>255</v>
      </c>
      <c r="I67" s="3">
        <v>1210</v>
      </c>
      <c r="J67">
        <f t="shared" ref="J67:J92" si="4">F67*5</f>
        <v>5</v>
      </c>
      <c r="K67">
        <v>50</v>
      </c>
      <c r="L67" s="7">
        <v>1.1428571428571401E-2</v>
      </c>
      <c r="M67" s="7">
        <f t="shared" ref="M67:M92" si="5">K67*L67</f>
        <v>0.57142857142857095</v>
      </c>
    </row>
    <row r="68" spans="1:13" x14ac:dyDescent="0.45">
      <c r="A68" s="6" t="s">
        <v>287</v>
      </c>
      <c r="B68" s="16" t="s">
        <v>288</v>
      </c>
      <c r="C68" s="16" t="s">
        <v>289</v>
      </c>
      <c r="D68" s="16" t="s">
        <v>229</v>
      </c>
      <c r="E68" s="16" t="s">
        <v>230</v>
      </c>
      <c r="F68" s="6">
        <v>12</v>
      </c>
      <c r="G68" t="s">
        <v>290</v>
      </c>
      <c r="H68" t="s">
        <v>232</v>
      </c>
      <c r="I68" s="17" t="s">
        <v>19</v>
      </c>
      <c r="J68">
        <f t="shared" si="4"/>
        <v>60</v>
      </c>
      <c r="K68">
        <v>100</v>
      </c>
      <c r="L68" s="7">
        <v>7.14285714285714E-3</v>
      </c>
      <c r="M68" s="7">
        <f t="shared" si="5"/>
        <v>0.71428571428571397</v>
      </c>
    </row>
    <row r="69" spans="1:13" x14ac:dyDescent="0.45">
      <c r="A69" s="16" t="s">
        <v>215</v>
      </c>
      <c r="B69" s="6"/>
      <c r="C69" s="16" t="s">
        <v>291</v>
      </c>
      <c r="D69" s="16" t="s">
        <v>292</v>
      </c>
      <c r="E69" s="16" t="s">
        <v>215</v>
      </c>
      <c r="F69" s="6">
        <v>1</v>
      </c>
      <c r="G69" t="s">
        <v>215</v>
      </c>
      <c r="H69" s="8" t="s">
        <v>126</v>
      </c>
      <c r="I69" s="3" t="s">
        <v>221</v>
      </c>
      <c r="J69">
        <f t="shared" si="4"/>
        <v>5</v>
      </c>
      <c r="K69">
        <v>50</v>
      </c>
      <c r="L69" s="7">
        <v>0.01</v>
      </c>
      <c r="M69" s="7">
        <f t="shared" si="5"/>
        <v>0.5</v>
      </c>
    </row>
    <row r="70" spans="1:13" x14ac:dyDescent="0.45">
      <c r="A70" s="16" t="s">
        <v>70</v>
      </c>
      <c r="B70" s="16" t="s">
        <v>293</v>
      </c>
      <c r="C70" s="16" t="s">
        <v>294</v>
      </c>
      <c r="D70" s="16" t="s">
        <v>293</v>
      </c>
      <c r="E70" s="16" t="s">
        <v>295</v>
      </c>
      <c r="F70" s="6">
        <v>11</v>
      </c>
      <c r="J70">
        <f t="shared" si="4"/>
        <v>55</v>
      </c>
      <c r="L70" s="7">
        <v>0</v>
      </c>
      <c r="M70" s="7">
        <f t="shared" si="5"/>
        <v>0</v>
      </c>
    </row>
    <row r="71" spans="1:13" x14ac:dyDescent="0.45">
      <c r="A71" s="16" t="s">
        <v>296</v>
      </c>
      <c r="B71" s="16" t="s">
        <v>293</v>
      </c>
      <c r="C71" s="16" t="s">
        <v>297</v>
      </c>
      <c r="D71" s="16" t="s">
        <v>293</v>
      </c>
      <c r="E71" s="16" t="s">
        <v>295</v>
      </c>
      <c r="F71" s="6">
        <v>45</v>
      </c>
      <c r="J71">
        <f t="shared" si="4"/>
        <v>225</v>
      </c>
      <c r="L71" s="7">
        <v>0</v>
      </c>
      <c r="M71" s="7">
        <f t="shared" si="5"/>
        <v>0</v>
      </c>
    </row>
    <row r="72" spans="1:13" x14ac:dyDescent="0.45">
      <c r="A72" s="16" t="s">
        <v>296</v>
      </c>
      <c r="B72" s="16" t="s">
        <v>293</v>
      </c>
      <c r="C72" s="16" t="s">
        <v>298</v>
      </c>
      <c r="D72" s="16" t="s">
        <v>299</v>
      </c>
      <c r="E72" s="16" t="s">
        <v>295</v>
      </c>
      <c r="F72" s="6">
        <v>1</v>
      </c>
      <c r="J72">
        <f t="shared" si="4"/>
        <v>5</v>
      </c>
      <c r="L72" s="7">
        <v>0</v>
      </c>
      <c r="M72" s="7">
        <f t="shared" si="5"/>
        <v>0</v>
      </c>
    </row>
    <row r="73" spans="1:13" s="2" customFormat="1" x14ac:dyDescent="0.45">
      <c r="A73" s="19" t="s">
        <v>300</v>
      </c>
      <c r="B73" s="19" t="s">
        <v>301</v>
      </c>
      <c r="C73" s="19" t="s">
        <v>302</v>
      </c>
      <c r="D73" s="19" t="s">
        <v>303</v>
      </c>
      <c r="E73" s="19" t="s">
        <v>304</v>
      </c>
      <c r="F73" s="9">
        <v>3</v>
      </c>
      <c r="I73" s="10"/>
      <c r="J73" s="2">
        <f t="shared" si="4"/>
        <v>15</v>
      </c>
      <c r="L73" s="11">
        <v>0</v>
      </c>
      <c r="M73" s="11">
        <f t="shared" si="5"/>
        <v>0</v>
      </c>
    </row>
    <row r="74" spans="1:13" x14ac:dyDescent="0.45">
      <c r="A74" s="16" t="s">
        <v>305</v>
      </c>
      <c r="B74" s="16" t="s">
        <v>305</v>
      </c>
      <c r="C74" s="16" t="s">
        <v>306</v>
      </c>
      <c r="D74" s="16" t="s">
        <v>305</v>
      </c>
      <c r="E74" s="16" t="s">
        <v>305</v>
      </c>
      <c r="F74" s="6">
        <v>2</v>
      </c>
      <c r="G74" t="s">
        <v>307</v>
      </c>
      <c r="H74" t="s">
        <v>308</v>
      </c>
      <c r="I74" s="12" t="s">
        <v>309</v>
      </c>
      <c r="J74">
        <f t="shared" si="4"/>
        <v>10</v>
      </c>
      <c r="K74">
        <v>10</v>
      </c>
      <c r="L74" s="7">
        <v>0.64285714285714302</v>
      </c>
      <c r="M74" s="7">
        <f t="shared" si="5"/>
        <v>6.4285714285714297</v>
      </c>
    </row>
    <row r="75" spans="1:13" x14ac:dyDescent="0.45">
      <c r="A75" s="16" t="s">
        <v>310</v>
      </c>
      <c r="B75" s="6"/>
      <c r="C75" s="16" t="s">
        <v>311</v>
      </c>
      <c r="D75" s="16" t="s">
        <v>312</v>
      </c>
      <c r="E75" s="16" t="s">
        <v>310</v>
      </c>
      <c r="F75" s="6">
        <v>1</v>
      </c>
      <c r="G75" t="s">
        <v>313</v>
      </c>
      <c r="H75" t="s">
        <v>314</v>
      </c>
      <c r="I75" s="3" t="s">
        <v>140</v>
      </c>
      <c r="J75">
        <f t="shared" si="4"/>
        <v>5</v>
      </c>
      <c r="K75">
        <v>10</v>
      </c>
      <c r="L75" s="7">
        <v>0.14285714285714299</v>
      </c>
      <c r="M75" s="7">
        <f t="shared" si="5"/>
        <v>1.4285714285714299</v>
      </c>
    </row>
    <row r="76" spans="1:13" x14ac:dyDescent="0.45">
      <c r="A76" s="16" t="s">
        <v>315</v>
      </c>
      <c r="B76" s="16" t="s">
        <v>316</v>
      </c>
      <c r="C76" s="16" t="s">
        <v>317</v>
      </c>
      <c r="D76" s="16" t="s">
        <v>318</v>
      </c>
      <c r="E76" s="16" t="s">
        <v>319</v>
      </c>
      <c r="F76" s="6">
        <v>1</v>
      </c>
      <c r="G76" t="s">
        <v>320</v>
      </c>
      <c r="H76" t="s">
        <v>321</v>
      </c>
      <c r="I76" s="3" t="s">
        <v>322</v>
      </c>
      <c r="J76">
        <f t="shared" si="4"/>
        <v>5</v>
      </c>
      <c r="K76">
        <v>5</v>
      </c>
      <c r="L76" s="7">
        <v>2.8571428571428599</v>
      </c>
      <c r="M76" s="7">
        <f t="shared" si="5"/>
        <v>14.285714285714301</v>
      </c>
    </row>
    <row r="77" spans="1:13" x14ac:dyDescent="0.45">
      <c r="A77" s="16" t="s">
        <v>323</v>
      </c>
      <c r="B77" s="16" t="s">
        <v>324</v>
      </c>
      <c r="C77" s="16" t="s">
        <v>325</v>
      </c>
      <c r="D77" s="16" t="s">
        <v>326</v>
      </c>
      <c r="E77" s="16" t="s">
        <v>327</v>
      </c>
      <c r="F77" s="6">
        <v>1</v>
      </c>
      <c r="G77" t="s">
        <v>328</v>
      </c>
      <c r="H77" t="s">
        <v>329</v>
      </c>
      <c r="I77" s="3" t="s">
        <v>326</v>
      </c>
      <c r="J77">
        <f t="shared" si="4"/>
        <v>5</v>
      </c>
      <c r="K77">
        <v>5</v>
      </c>
      <c r="L77" s="7">
        <v>0.25714285714285701</v>
      </c>
      <c r="M77" s="7">
        <f t="shared" si="5"/>
        <v>1.28571428571429</v>
      </c>
    </row>
    <row r="78" spans="1:13" x14ac:dyDescent="0.45">
      <c r="A78" s="16" t="s">
        <v>330</v>
      </c>
      <c r="B78" s="6"/>
      <c r="C78" s="16" t="s">
        <v>331</v>
      </c>
      <c r="D78" s="16" t="s">
        <v>332</v>
      </c>
      <c r="E78" s="16" t="s">
        <v>330</v>
      </c>
      <c r="F78" s="6">
        <v>1</v>
      </c>
      <c r="G78" t="s">
        <v>333</v>
      </c>
      <c r="H78" t="s">
        <v>334</v>
      </c>
      <c r="I78" s="3" t="s">
        <v>335</v>
      </c>
      <c r="J78">
        <f t="shared" si="4"/>
        <v>5</v>
      </c>
      <c r="K78">
        <v>5</v>
      </c>
      <c r="L78" s="7">
        <v>1.1142857142857101</v>
      </c>
      <c r="M78" s="7">
        <f t="shared" si="5"/>
        <v>5.5714285714285703</v>
      </c>
    </row>
    <row r="79" spans="1:13" x14ac:dyDescent="0.45">
      <c r="A79" s="16" t="s">
        <v>336</v>
      </c>
      <c r="B79" s="6"/>
      <c r="C79" s="16" t="s">
        <v>337</v>
      </c>
      <c r="D79" s="16" t="s">
        <v>338</v>
      </c>
      <c r="E79" s="16" t="s">
        <v>336</v>
      </c>
      <c r="F79" s="6">
        <v>1</v>
      </c>
      <c r="G79" t="s">
        <v>336</v>
      </c>
      <c r="H79" t="s">
        <v>339</v>
      </c>
      <c r="I79" s="3" t="s">
        <v>340</v>
      </c>
      <c r="J79">
        <f t="shared" si="4"/>
        <v>5</v>
      </c>
      <c r="K79">
        <v>5</v>
      </c>
      <c r="L79" s="7">
        <v>5.4285714285714297</v>
      </c>
      <c r="M79" s="7">
        <f t="shared" si="5"/>
        <v>27.1428571428571</v>
      </c>
    </row>
    <row r="80" spans="1:13" x14ac:dyDescent="0.45">
      <c r="A80" s="16" t="s">
        <v>341</v>
      </c>
      <c r="B80" s="16" t="s">
        <v>341</v>
      </c>
      <c r="C80" s="16" t="s">
        <v>342</v>
      </c>
      <c r="D80" s="16" t="s">
        <v>343</v>
      </c>
      <c r="E80" s="16" t="s">
        <v>344</v>
      </c>
      <c r="F80" s="6">
        <v>2</v>
      </c>
      <c r="G80" t="s">
        <v>345</v>
      </c>
      <c r="H80" t="s">
        <v>346</v>
      </c>
      <c r="I80" s="3" t="s">
        <v>347</v>
      </c>
      <c r="J80">
        <f t="shared" si="4"/>
        <v>10</v>
      </c>
      <c r="K80">
        <v>20</v>
      </c>
      <c r="L80" s="7">
        <v>5.7142857142857099E-2</v>
      </c>
      <c r="M80" s="7">
        <f t="shared" si="5"/>
        <v>1.1428571428571399</v>
      </c>
    </row>
    <row r="81" spans="1:13" x14ac:dyDescent="0.45">
      <c r="A81" s="16" t="s">
        <v>348</v>
      </c>
      <c r="B81" s="16" t="s">
        <v>348</v>
      </c>
      <c r="C81" s="16" t="s">
        <v>349</v>
      </c>
      <c r="D81" s="16" t="s">
        <v>350</v>
      </c>
      <c r="E81" s="16" t="s">
        <v>348</v>
      </c>
      <c r="F81" s="6">
        <v>3</v>
      </c>
      <c r="G81" t="s">
        <v>351</v>
      </c>
      <c r="H81" t="s">
        <v>334</v>
      </c>
      <c r="I81" s="3" t="s">
        <v>322</v>
      </c>
      <c r="J81">
        <f t="shared" si="4"/>
        <v>15</v>
      </c>
      <c r="K81">
        <v>15</v>
      </c>
      <c r="L81" s="7">
        <v>0.78571428571428603</v>
      </c>
      <c r="M81" s="7">
        <f t="shared" si="5"/>
        <v>11.785714285714301</v>
      </c>
    </row>
    <row r="82" spans="1:13" x14ac:dyDescent="0.45">
      <c r="A82" s="16" t="s">
        <v>324</v>
      </c>
      <c r="B82" s="16" t="s">
        <v>324</v>
      </c>
      <c r="C82" s="16" t="s">
        <v>352</v>
      </c>
      <c r="D82" s="16" t="s">
        <v>326</v>
      </c>
      <c r="E82" s="16" t="s">
        <v>327</v>
      </c>
      <c r="F82" s="6">
        <v>1</v>
      </c>
      <c r="G82" t="s">
        <v>328</v>
      </c>
      <c r="H82" t="s">
        <v>329</v>
      </c>
      <c r="I82" s="3" t="s">
        <v>326</v>
      </c>
      <c r="J82">
        <f t="shared" si="4"/>
        <v>5</v>
      </c>
      <c r="K82">
        <v>5</v>
      </c>
      <c r="L82" s="7">
        <v>0.25714285714285701</v>
      </c>
      <c r="M82" s="7">
        <f t="shared" si="5"/>
        <v>1.28571428571429</v>
      </c>
    </row>
    <row r="83" spans="1:13" x14ac:dyDescent="0.45">
      <c r="A83" s="16" t="s">
        <v>353</v>
      </c>
      <c r="B83" s="16" t="s">
        <v>353</v>
      </c>
      <c r="C83" s="16" t="s">
        <v>354</v>
      </c>
      <c r="D83" s="16" t="s">
        <v>355</v>
      </c>
      <c r="E83" s="16" t="s">
        <v>353</v>
      </c>
      <c r="F83" s="6">
        <v>1</v>
      </c>
      <c r="G83" t="s">
        <v>353</v>
      </c>
      <c r="H83" t="s">
        <v>356</v>
      </c>
      <c r="I83" s="3" t="s">
        <v>357</v>
      </c>
      <c r="J83">
        <f t="shared" si="4"/>
        <v>5</v>
      </c>
      <c r="K83">
        <v>5</v>
      </c>
      <c r="L83" s="7">
        <v>1.5714285714285701</v>
      </c>
      <c r="M83" s="7">
        <f t="shared" si="5"/>
        <v>7.8571428571428603</v>
      </c>
    </row>
    <row r="84" spans="1:13" x14ac:dyDescent="0.45">
      <c r="A84" s="16" t="s">
        <v>358</v>
      </c>
      <c r="B84" s="16" t="s">
        <v>358</v>
      </c>
      <c r="C84" s="16" t="s">
        <v>359</v>
      </c>
      <c r="D84" s="16" t="s">
        <v>360</v>
      </c>
      <c r="E84" s="16" t="s">
        <v>358</v>
      </c>
      <c r="F84" s="6">
        <v>1</v>
      </c>
      <c r="G84" t="s">
        <v>358</v>
      </c>
      <c r="H84" t="s">
        <v>334</v>
      </c>
      <c r="I84" s="3" t="s">
        <v>361</v>
      </c>
      <c r="J84">
        <f t="shared" si="4"/>
        <v>5</v>
      </c>
      <c r="K84">
        <v>5</v>
      </c>
      <c r="L84" s="7">
        <v>0.78571428571428603</v>
      </c>
      <c r="M84" s="7">
        <f t="shared" si="5"/>
        <v>3.9285714285714302</v>
      </c>
    </row>
    <row r="85" spans="1:13" x14ac:dyDescent="0.45">
      <c r="A85" s="16" t="s">
        <v>362</v>
      </c>
      <c r="B85" s="16" t="s">
        <v>362</v>
      </c>
      <c r="C85" s="16" t="s">
        <v>363</v>
      </c>
      <c r="D85" s="16" t="s">
        <v>347</v>
      </c>
      <c r="E85" s="16" t="s">
        <v>344</v>
      </c>
      <c r="F85" s="6">
        <v>2</v>
      </c>
      <c r="G85" t="s">
        <v>364</v>
      </c>
      <c r="H85" t="s">
        <v>346</v>
      </c>
      <c r="I85" s="3" t="s">
        <v>347</v>
      </c>
      <c r="J85">
        <f t="shared" si="4"/>
        <v>10</v>
      </c>
      <c r="K85">
        <v>20</v>
      </c>
      <c r="L85" s="7">
        <v>5.7142857142857099E-2</v>
      </c>
      <c r="M85" s="7">
        <f t="shared" si="5"/>
        <v>1.1428571428571399</v>
      </c>
    </row>
    <row r="86" spans="1:13" x14ac:dyDescent="0.45">
      <c r="A86" s="16" t="s">
        <v>365</v>
      </c>
      <c r="B86" s="16" t="s">
        <v>365</v>
      </c>
      <c r="C86" s="16" t="s">
        <v>366</v>
      </c>
      <c r="D86" s="16" t="s">
        <v>367</v>
      </c>
      <c r="E86" s="16" t="s">
        <v>368</v>
      </c>
      <c r="F86" s="6">
        <v>1</v>
      </c>
      <c r="G86" t="s">
        <v>368</v>
      </c>
      <c r="H86" t="s">
        <v>369</v>
      </c>
      <c r="I86" s="13" t="s">
        <v>370</v>
      </c>
      <c r="J86">
        <f t="shared" si="4"/>
        <v>5</v>
      </c>
      <c r="K86">
        <v>5</v>
      </c>
      <c r="L86" s="7">
        <v>2.1428571428571401</v>
      </c>
      <c r="M86" s="7">
        <f t="shared" si="5"/>
        <v>10.714285714285699</v>
      </c>
    </row>
    <row r="87" spans="1:13" x14ac:dyDescent="0.45">
      <c r="A87" s="16" t="s">
        <v>371</v>
      </c>
      <c r="B87" s="6"/>
      <c r="C87" s="16" t="s">
        <v>372</v>
      </c>
      <c r="D87" s="16" t="s">
        <v>373</v>
      </c>
      <c r="E87" s="16" t="s">
        <v>371</v>
      </c>
      <c r="F87" s="6">
        <v>1</v>
      </c>
      <c r="G87" t="s">
        <v>374</v>
      </c>
      <c r="H87" t="s">
        <v>375</v>
      </c>
      <c r="I87" s="3" t="s">
        <v>376</v>
      </c>
      <c r="J87">
        <f t="shared" si="4"/>
        <v>5</v>
      </c>
      <c r="K87">
        <v>5</v>
      </c>
      <c r="L87" s="7">
        <v>0.28571428571428598</v>
      </c>
      <c r="M87" s="7">
        <f t="shared" si="5"/>
        <v>1.4285714285714299</v>
      </c>
    </row>
    <row r="88" spans="1:13" x14ac:dyDescent="0.45">
      <c r="A88" s="16" t="s">
        <v>377</v>
      </c>
      <c r="B88" s="16" t="s">
        <v>70</v>
      </c>
      <c r="C88" s="16" t="s">
        <v>378</v>
      </c>
      <c r="D88" s="16" t="s">
        <v>379</v>
      </c>
      <c r="E88" s="16" t="s">
        <v>380</v>
      </c>
      <c r="F88" s="6">
        <v>6</v>
      </c>
      <c r="G88" t="s">
        <v>377</v>
      </c>
      <c r="H88" s="8" t="s">
        <v>126</v>
      </c>
      <c r="I88" s="12" t="s">
        <v>381</v>
      </c>
      <c r="J88">
        <f t="shared" si="4"/>
        <v>30</v>
      </c>
      <c r="K88">
        <v>50</v>
      </c>
      <c r="L88" s="7">
        <v>3.8571428571428597E-2</v>
      </c>
      <c r="M88" s="7">
        <f t="shared" si="5"/>
        <v>1.9285714285714299</v>
      </c>
    </row>
    <row r="89" spans="1:13" x14ac:dyDescent="0.45">
      <c r="A89" s="16" t="s">
        <v>382</v>
      </c>
      <c r="B89" s="16" t="s">
        <v>383</v>
      </c>
      <c r="C89" s="16" t="s">
        <v>384</v>
      </c>
      <c r="D89" s="16" t="s">
        <v>385</v>
      </c>
      <c r="E89" s="16" t="s">
        <v>386</v>
      </c>
      <c r="F89" s="6">
        <v>6</v>
      </c>
      <c r="G89" t="s">
        <v>387</v>
      </c>
      <c r="H89" t="s">
        <v>388</v>
      </c>
      <c r="I89" s="12" t="s">
        <v>389</v>
      </c>
      <c r="J89">
        <f t="shared" si="4"/>
        <v>30</v>
      </c>
      <c r="K89">
        <v>50</v>
      </c>
      <c r="L89" s="7">
        <v>6.4285714285714293E-2</v>
      </c>
      <c r="M89" s="7">
        <f t="shared" si="5"/>
        <v>3.21428571428571</v>
      </c>
    </row>
    <row r="90" spans="1:13" s="2" customFormat="1" ht="71.25" x14ac:dyDescent="0.45">
      <c r="A90" s="19" t="s">
        <v>390</v>
      </c>
      <c r="B90" s="21" t="s">
        <v>391</v>
      </c>
      <c r="C90" s="19" t="s">
        <v>392</v>
      </c>
      <c r="D90" s="19" t="s">
        <v>393</v>
      </c>
      <c r="E90" s="19" t="s">
        <v>394</v>
      </c>
      <c r="F90" s="9">
        <v>12</v>
      </c>
      <c r="G90" s="2" t="s">
        <v>395</v>
      </c>
      <c r="H90" s="14" t="s">
        <v>396</v>
      </c>
      <c r="I90" s="15" t="s">
        <v>397</v>
      </c>
      <c r="J90" s="2">
        <f t="shared" si="4"/>
        <v>60</v>
      </c>
      <c r="K90" s="2">
        <v>60</v>
      </c>
      <c r="L90" s="11">
        <v>2.28571428571429</v>
      </c>
      <c r="M90" s="11">
        <f t="shared" si="5"/>
        <v>137.142857142857</v>
      </c>
    </row>
    <row r="91" spans="1:13" x14ac:dyDescent="0.45">
      <c r="A91" s="22" t="s">
        <v>411</v>
      </c>
      <c r="B91" s="23" t="s">
        <v>413</v>
      </c>
      <c r="C91" s="16" t="s">
        <v>398</v>
      </c>
      <c r="D91" s="16" t="s">
        <v>399</v>
      </c>
      <c r="E91" s="16" t="s">
        <v>400</v>
      </c>
      <c r="F91" s="6">
        <v>1</v>
      </c>
      <c r="G91" t="s">
        <v>401</v>
      </c>
      <c r="H91" t="s">
        <v>402</v>
      </c>
      <c r="I91" s="3" t="s">
        <v>403</v>
      </c>
      <c r="J91">
        <f t="shared" si="4"/>
        <v>5</v>
      </c>
      <c r="K91">
        <v>10</v>
      </c>
      <c r="L91" s="7">
        <v>7.1428571428571397E-2</v>
      </c>
      <c r="M91" s="7">
        <f t="shared" si="5"/>
        <v>0.71428571428571397</v>
      </c>
    </row>
    <row r="92" spans="1:13" x14ac:dyDescent="0.45">
      <c r="A92" s="16" t="s">
        <v>404</v>
      </c>
      <c r="B92" s="16" t="s">
        <v>70</v>
      </c>
      <c r="C92" s="16" t="s">
        <v>405</v>
      </c>
      <c r="D92" s="16" t="s">
        <v>379</v>
      </c>
      <c r="E92" s="16" t="s">
        <v>404</v>
      </c>
      <c r="F92" s="6">
        <v>2</v>
      </c>
      <c r="G92" t="s">
        <v>404</v>
      </c>
      <c r="H92" s="8" t="s">
        <v>126</v>
      </c>
      <c r="I92" s="3" t="s">
        <v>381</v>
      </c>
      <c r="J92">
        <f t="shared" si="4"/>
        <v>10</v>
      </c>
      <c r="K92">
        <v>10</v>
      </c>
      <c r="L92" s="7">
        <v>4.2857142857142899E-2</v>
      </c>
      <c r="M92" s="7">
        <f t="shared" si="5"/>
        <v>0.42857142857142899</v>
      </c>
    </row>
    <row r="93" spans="1:13" x14ac:dyDescent="0.45">
      <c r="A93" t="s">
        <v>406</v>
      </c>
      <c r="B93" s="24" t="s">
        <v>412</v>
      </c>
      <c r="F93">
        <v>1</v>
      </c>
      <c r="J93">
        <v>5</v>
      </c>
      <c r="K93">
        <v>5</v>
      </c>
      <c r="L93" s="7"/>
      <c r="M93">
        <v>52</v>
      </c>
    </row>
    <row r="94" spans="1:13" x14ac:dyDescent="0.45">
      <c r="A94" t="s">
        <v>407</v>
      </c>
      <c r="F94">
        <v>1</v>
      </c>
      <c r="J94">
        <v>1</v>
      </c>
      <c r="K94">
        <v>1</v>
      </c>
      <c r="M94">
        <v>20</v>
      </c>
    </row>
    <row r="95" spans="1:13" x14ac:dyDescent="0.45">
      <c r="A95" t="s">
        <v>408</v>
      </c>
      <c r="F95">
        <v>1</v>
      </c>
      <c r="J95">
        <v>5</v>
      </c>
      <c r="K95">
        <v>5</v>
      </c>
      <c r="M95">
        <v>200</v>
      </c>
    </row>
    <row r="96" spans="1:13" x14ac:dyDescent="0.45">
      <c r="A96" t="s">
        <v>409</v>
      </c>
      <c r="M96">
        <v>44</v>
      </c>
    </row>
    <row r="97" spans="13:13" x14ac:dyDescent="0.45">
      <c r="M97" t="s">
        <v>410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Driver_BLDC</vt:lpstr>
      <vt:lpstr>Driver_BLDC!Заголовки_для_печати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Borsuk</dc:creator>
  <cp:lastModifiedBy>Vladimir Borsuk</cp:lastModifiedBy>
  <dcterms:created xsi:type="dcterms:W3CDTF">2026-05-04T07:25:00Z</dcterms:created>
  <dcterms:modified xsi:type="dcterms:W3CDTF">2026-05-06T06:57:54Z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B058E58823314F5A8E02BE7C1D37BD17_12</vt:lpwstr>
  </property>
</Properties>
</file>